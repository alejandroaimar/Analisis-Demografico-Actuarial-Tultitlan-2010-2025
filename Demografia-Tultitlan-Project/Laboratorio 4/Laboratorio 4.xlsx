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Escritorio\Excel Demografia\"/>
    </mc:Choice>
  </mc:AlternateContent>
  <bookViews>
    <workbookView xWindow="0" yWindow="0" windowWidth="18150" windowHeight="7305" activeTab="4"/>
  </bookViews>
  <sheets>
    <sheet name="Nacimientos" sheetId="1" r:id="rId1"/>
    <sheet name="Defunciones" sheetId="2" r:id="rId2"/>
    <sheet name="Poblacion" sheetId="3" r:id="rId3"/>
    <sheet name="Tablas de vida" sheetId="4" r:id="rId4"/>
    <sheet name="Fecundida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6" i="5" l="1"/>
  <c r="Y36" i="5" s="1"/>
  <c r="U35" i="5"/>
  <c r="Y35" i="5" s="1"/>
  <c r="U34" i="5"/>
  <c r="Y34" i="5" s="1"/>
  <c r="U33" i="5"/>
  <c r="Y33" i="5" s="1"/>
  <c r="U32" i="5"/>
  <c r="Y32" i="5" s="1"/>
  <c r="U31" i="5"/>
  <c r="Y31" i="5" s="1"/>
  <c r="U30" i="5"/>
  <c r="Y30" i="5" s="1"/>
  <c r="AB20" i="5"/>
  <c r="AB21" i="5"/>
  <c r="AB22" i="5"/>
  <c r="AB23" i="5"/>
  <c r="AB24" i="5"/>
  <c r="AB25" i="5"/>
  <c r="AB19" i="5"/>
  <c r="W20" i="5"/>
  <c r="W21" i="5"/>
  <c r="W22" i="5"/>
  <c r="W23" i="5"/>
  <c r="W24" i="5"/>
  <c r="W25" i="5"/>
  <c r="W19" i="5"/>
  <c r="AL20" i="5"/>
  <c r="AL21" i="5"/>
  <c r="AL22" i="5"/>
  <c r="AL23" i="5"/>
  <c r="AL24" i="5"/>
  <c r="AL25" i="5"/>
  <c r="AL19" i="5"/>
  <c r="AK20" i="5"/>
  <c r="AK21" i="5"/>
  <c r="AK22" i="5"/>
  <c r="AK23" i="5"/>
  <c r="AK24" i="5"/>
  <c r="AK25" i="5"/>
  <c r="AK19" i="5"/>
  <c r="AV8" i="5" l="1"/>
  <c r="AV9" i="5"/>
  <c r="AW9" i="5" s="1"/>
  <c r="AV10" i="5"/>
  <c r="AW10" i="5" s="1"/>
  <c r="AV11" i="5"/>
  <c r="AW11" i="5" s="1"/>
  <c r="AV12" i="5"/>
  <c r="AV13" i="5"/>
  <c r="AW13" i="5" s="1"/>
  <c r="AV14" i="5"/>
  <c r="AW14" i="5" s="1"/>
  <c r="AV15" i="5"/>
  <c r="AW15" i="5" s="1"/>
  <c r="AV16" i="5"/>
  <c r="AV17" i="5"/>
  <c r="AW17" i="5" s="1"/>
  <c r="AV18" i="5"/>
  <c r="AW18" i="5" s="1"/>
  <c r="AV19" i="5"/>
  <c r="AW19" i="5" s="1"/>
  <c r="AV20" i="5"/>
  <c r="AV21" i="5"/>
  <c r="AW21" i="5" s="1"/>
  <c r="AV22" i="5"/>
  <c r="AW22" i="5" s="1"/>
  <c r="AV23" i="5"/>
  <c r="AW23" i="5" s="1"/>
  <c r="AV24" i="5"/>
  <c r="AV25" i="5"/>
  <c r="AW25" i="5" s="1"/>
  <c r="AV7" i="5"/>
  <c r="AW7" i="5" s="1"/>
  <c r="AP8" i="5"/>
  <c r="AQ8" i="5" s="1"/>
  <c r="AP9" i="5"/>
  <c r="AP10" i="5"/>
  <c r="AQ10" i="5" s="1"/>
  <c r="AP11" i="5"/>
  <c r="AQ11" i="5" s="1"/>
  <c r="AP12" i="5"/>
  <c r="AQ12" i="5" s="1"/>
  <c r="AP13" i="5"/>
  <c r="AP14" i="5"/>
  <c r="AQ14" i="5" s="1"/>
  <c r="AP15" i="5"/>
  <c r="AQ15" i="5" s="1"/>
  <c r="AP16" i="5"/>
  <c r="AP17" i="5"/>
  <c r="AP18" i="5"/>
  <c r="AQ18" i="5" s="1"/>
  <c r="AP19" i="5"/>
  <c r="AQ19" i="5" s="1"/>
  <c r="AP20" i="5"/>
  <c r="AQ20" i="5" s="1"/>
  <c r="AP21" i="5"/>
  <c r="AQ21" i="5" s="1"/>
  <c r="AP22" i="5"/>
  <c r="AQ22" i="5" s="1"/>
  <c r="AP23" i="5"/>
  <c r="AQ23" i="5" s="1"/>
  <c r="AP24" i="5"/>
  <c r="AQ24" i="5" s="1"/>
  <c r="AP25" i="5"/>
  <c r="AQ25" i="5" s="1"/>
  <c r="AP7" i="5"/>
  <c r="AQ7" i="5" s="1"/>
  <c r="AW24" i="5"/>
  <c r="AW20" i="5"/>
  <c r="AQ17" i="5"/>
  <c r="AW16" i="5"/>
  <c r="AQ16" i="5"/>
  <c r="AQ13" i="5"/>
  <c r="AW12" i="5"/>
  <c r="AQ9" i="5"/>
  <c r="AW8" i="5"/>
  <c r="H8" i="5"/>
  <c r="H9" i="5"/>
  <c r="H10" i="5"/>
  <c r="H11" i="5"/>
  <c r="H12" i="5"/>
  <c r="U8" i="5" s="1"/>
  <c r="H13" i="5"/>
  <c r="U9" i="5" s="1"/>
  <c r="H14" i="5"/>
  <c r="H15" i="5"/>
  <c r="U11" i="5" s="1"/>
  <c r="H16" i="5"/>
  <c r="H17" i="5"/>
  <c r="U13" i="5" s="1"/>
  <c r="H18" i="5"/>
  <c r="H19" i="5"/>
  <c r="H20" i="5"/>
  <c r="H21" i="5"/>
  <c r="H22" i="5"/>
  <c r="H23" i="5"/>
  <c r="H24" i="5"/>
  <c r="H25" i="5"/>
  <c r="H7" i="5"/>
  <c r="L8" i="5"/>
  <c r="L9" i="5"/>
  <c r="L10" i="5"/>
  <c r="L11" i="5"/>
  <c r="AA7" i="5" s="1"/>
  <c r="L12" i="5"/>
  <c r="L13" i="5"/>
  <c r="L14" i="5"/>
  <c r="AA10" i="5" s="1"/>
  <c r="L15" i="5"/>
  <c r="AA11" i="5" s="1"/>
  <c r="L16" i="5"/>
  <c r="AA12" i="5" s="1"/>
  <c r="L17" i="5"/>
  <c r="L18" i="5"/>
  <c r="L19" i="5"/>
  <c r="L20" i="5"/>
  <c r="L21" i="5"/>
  <c r="L22" i="5"/>
  <c r="L23" i="5"/>
  <c r="L24" i="5"/>
  <c r="L25" i="5"/>
  <c r="L7" i="5"/>
  <c r="U10" i="5"/>
  <c r="U12" i="5"/>
  <c r="AA8" i="5"/>
  <c r="AA9" i="5"/>
  <c r="AA13" i="5"/>
  <c r="B8" i="5"/>
  <c r="B7" i="5"/>
  <c r="O7" i="5" l="1"/>
  <c r="O6" i="5"/>
  <c r="U7" i="5"/>
  <c r="U14" i="5" s="1"/>
  <c r="L26" i="5"/>
  <c r="H26" i="5"/>
  <c r="AA14" i="5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E37" i="1" l="1"/>
  <c r="C39" i="1"/>
  <c r="E39" i="1"/>
  <c r="C40" i="1"/>
  <c r="V9" i="5" s="1"/>
  <c r="W9" i="5" s="1"/>
  <c r="AR13" i="5" s="1"/>
  <c r="AS13" i="5" s="1"/>
  <c r="C41" i="1"/>
  <c r="E41" i="1"/>
  <c r="AB10" i="5" s="1"/>
  <c r="AC10" i="5" s="1"/>
  <c r="AX14" i="5" s="1"/>
  <c r="AY14" i="5" s="1"/>
  <c r="C42" i="1"/>
  <c r="V11" i="5" s="1"/>
  <c r="W11" i="5" s="1"/>
  <c r="AR15" i="5" s="1"/>
  <c r="AS15" i="5" s="1"/>
  <c r="C43" i="1"/>
  <c r="E43" i="1"/>
  <c r="C44" i="1"/>
  <c r="C45" i="1"/>
  <c r="C37" i="1"/>
  <c r="C38" i="1"/>
  <c r="F37" i="1"/>
  <c r="D38" i="1"/>
  <c r="F39" i="1"/>
  <c r="D40" i="1"/>
  <c r="F41" i="1"/>
  <c r="D42" i="1"/>
  <c r="F43" i="1"/>
  <c r="D44" i="1"/>
  <c r="V12" i="5"/>
  <c r="W12" i="5" s="1"/>
  <c r="AR16" i="5" s="1"/>
  <c r="AS16" i="5" s="1"/>
  <c r="AB8" i="5"/>
  <c r="AC8" i="5" s="1"/>
  <c r="AX12" i="5" s="1"/>
  <c r="AY12" i="5" s="1"/>
  <c r="AB12" i="5"/>
  <c r="AC12" i="5" s="1"/>
  <c r="AX16" i="5" s="1"/>
  <c r="AY16" i="5" s="1"/>
  <c r="E38" i="1"/>
  <c r="E40" i="1"/>
  <c r="E42" i="1"/>
  <c r="E44" i="1"/>
  <c r="V8" i="5"/>
  <c r="W8" i="5" s="1"/>
  <c r="AR12" i="5" s="1"/>
  <c r="AS12" i="5" s="1"/>
  <c r="D37" i="1"/>
  <c r="F38" i="1"/>
  <c r="D39" i="1"/>
  <c r="F40" i="1"/>
  <c r="D41" i="1"/>
  <c r="V10" i="5" s="1"/>
  <c r="W10" i="5" s="1"/>
  <c r="AR14" i="5" s="1"/>
  <c r="AS14" i="5" s="1"/>
  <c r="F42" i="1"/>
  <c r="D43" i="1"/>
  <c r="F44" i="1"/>
  <c r="D45" i="1"/>
  <c r="V13" i="5" s="1"/>
  <c r="W13" i="5" s="1"/>
  <c r="AR17" i="5" s="1"/>
  <c r="AS17" i="5" s="1"/>
  <c r="AB7" i="5" l="1"/>
  <c r="AB9" i="5"/>
  <c r="AC9" i="5" s="1"/>
  <c r="AX13" i="5" s="1"/>
  <c r="AY13" i="5" s="1"/>
  <c r="AB11" i="5"/>
  <c r="AC11" i="5" s="1"/>
  <c r="AX15" i="5" s="1"/>
  <c r="AY15" i="5" s="1"/>
  <c r="V7" i="5"/>
  <c r="C60" i="1"/>
  <c r="C7" i="5" l="1"/>
  <c r="D7" i="5" s="1"/>
  <c r="P6" i="5"/>
  <c r="Q6" i="5" s="1"/>
  <c r="BC6" i="5"/>
  <c r="AK6" i="5"/>
  <c r="V14" i="5"/>
  <c r="W7" i="5"/>
  <c r="AJ7" i="5"/>
  <c r="BB7" i="5"/>
  <c r="BB6" i="5"/>
  <c r="AJ6" i="5"/>
  <c r="E60" i="1"/>
  <c r="AB13" i="5"/>
  <c r="AC13" i="5" s="1"/>
  <c r="AX17" i="5" s="1"/>
  <c r="AY17" i="5" s="1"/>
  <c r="AC7" i="5"/>
  <c r="BD6" i="5" l="1"/>
  <c r="P7" i="5"/>
  <c r="Q7" i="5" s="1"/>
  <c r="BC7" i="5"/>
  <c r="BD7" i="5" s="1"/>
  <c r="AK7" i="5"/>
  <c r="C8" i="5"/>
  <c r="D8" i="5" s="1"/>
  <c r="AF8" i="5"/>
  <c r="AG8" i="5" s="1"/>
  <c r="AL7" i="5" s="1"/>
  <c r="AX11" i="5"/>
  <c r="AY11" i="5" s="1"/>
  <c r="AY26" i="5" s="1"/>
  <c r="AR11" i="5"/>
  <c r="AS11" i="5" s="1"/>
  <c r="AF7" i="5"/>
  <c r="AG7" i="5" s="1"/>
  <c r="AL6" i="5" s="1"/>
  <c r="AM6" i="5" s="1"/>
  <c r="AB14" i="5"/>
  <c r="AS26" i="5" l="1"/>
  <c r="BE6" i="5" s="1"/>
  <c r="AN26" i="5"/>
  <c r="BE7" i="5"/>
  <c r="AM7" i="5"/>
</calcChain>
</file>

<file path=xl/sharedStrings.xml><?xml version="1.0" encoding="utf-8"?>
<sst xmlns="http://schemas.openxmlformats.org/spreadsheetml/2006/main" count="320" uniqueCount="99">
  <si>
    <t>DESCARGA DE INEGI</t>
  </si>
  <si>
    <t>.</t>
  </si>
  <si>
    <t>edad</t>
  </si>
  <si>
    <t>Hombre</t>
  </si>
  <si>
    <t>Mujer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</si>
  <si>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</si>
  <si>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</si>
  <si>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</si>
  <si>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</si>
  <si>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</si>
  <si>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</si>
  <si>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</si>
  <si>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</si>
  <si>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y más años</t>
  </si>
  <si>
    <t>No especificado</t>
  </si>
  <si>
    <t>PRORRATEO</t>
  </si>
  <si>
    <t>PROMEDIO</t>
  </si>
  <si>
    <t>AGREGACIÓN DE GRUPOS</t>
  </si>
  <si>
    <t>SUMA</t>
  </si>
  <si>
    <t>TABLA PRORRATEADA</t>
  </si>
  <si>
    <t>Edad inicial</t>
  </si>
  <si>
    <t>Edad Final</t>
  </si>
  <si>
    <t>Total</t>
  </si>
  <si>
    <t>Grupos quinquenales</t>
  </si>
  <si>
    <t xml:space="preserve">Edad final </t>
  </si>
  <si>
    <t>85 y mas</t>
  </si>
  <si>
    <t>TOTAL</t>
  </si>
  <si>
    <t>Proyeccion mitad de año 2010</t>
  </si>
  <si>
    <t>Hombres</t>
  </si>
  <si>
    <t>Mujeres</t>
  </si>
  <si>
    <t>Proyeccion 2015</t>
  </si>
  <si>
    <t>Proyeccion mitad de año 2020</t>
  </si>
  <si>
    <t>HOMBRES 2010</t>
  </si>
  <si>
    <t>MUJERES 2010</t>
  </si>
  <si>
    <t>poblacion lab2</t>
  </si>
  <si>
    <t>TMI /1000</t>
  </si>
  <si>
    <t>población lab 2</t>
  </si>
  <si>
    <t>Edad</t>
  </si>
  <si>
    <t>n</t>
  </si>
  <si>
    <t>nax</t>
  </si>
  <si>
    <t>nDx</t>
  </si>
  <si>
    <t>nNx</t>
  </si>
  <si>
    <t>nMx</t>
  </si>
  <si>
    <t>nmx</t>
  </si>
  <si>
    <t>nqx</t>
  </si>
  <si>
    <t>npx</t>
  </si>
  <si>
    <t>lx</t>
  </si>
  <si>
    <t>ndx</t>
  </si>
  <si>
    <t>nLx</t>
  </si>
  <si>
    <t>Tx</t>
  </si>
  <si>
    <t>ex</t>
  </si>
  <si>
    <t>HOMBRES 2020</t>
  </si>
  <si>
    <t>MUJERES 2020</t>
  </si>
  <si>
    <t>Tasa Bruta de Natalidad</t>
  </si>
  <si>
    <t>Año</t>
  </si>
  <si>
    <t>Población Total</t>
  </si>
  <si>
    <t>Nacimientos Totales</t>
  </si>
  <si>
    <t>Tasa de Fecundidad General</t>
  </si>
  <si>
    <t>Mujeres en Edad Reproductiva</t>
  </si>
  <si>
    <t>Edad final</t>
  </si>
  <si>
    <t>1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</si>
  <si>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</si>
  <si>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</si>
  <si>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</si>
  <si>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</si>
  <si>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</si>
  <si>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</si>
  <si>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</si>
  <si>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</si>
  <si>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</si>
  <si>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</si>
  <si>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</si>
  <si>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</si>
  <si>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</si>
  <si>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</si>
  <si>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</si>
  <si>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</si>
  <si>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más</t>
  </si>
  <si>
    <t>Suma</t>
  </si>
  <si>
    <t>Tasa  Especifica de Fecundidad</t>
  </si>
  <si>
    <t>Nacimientos</t>
  </si>
  <si>
    <t>Tasa Global  de Fecundidad</t>
  </si>
  <si>
    <t>TEF</t>
  </si>
  <si>
    <t>Tasa Bruta de Reproducción</t>
  </si>
  <si>
    <t>Nacimientos Mujeres</t>
  </si>
  <si>
    <t>TGF</t>
  </si>
  <si>
    <t>k</t>
  </si>
  <si>
    <t>px</t>
  </si>
  <si>
    <t>px*TEF</t>
  </si>
  <si>
    <t>poblacion lab 2</t>
  </si>
  <si>
    <t/>
  </si>
  <si>
    <t>edad de la madre</t>
  </si>
  <si>
    <t xml:space="preserve">nacimientos </t>
  </si>
  <si>
    <t xml:space="preserve">Tasa de crecimiento </t>
  </si>
  <si>
    <t>Proyeccion a 2025</t>
  </si>
  <si>
    <t>Edad de la madre</t>
  </si>
  <si>
    <t>tasa</t>
  </si>
  <si>
    <t xml:space="preserve">Nacimientos </t>
  </si>
  <si>
    <t>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</si>
</sst>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#"/>
    <numFmt numFmtId="165" formatCode="0.0000"/>
    <numFmt numFmtId="166" formatCode="0.000"/>
    <numFmt numFmtId="167" formatCode="0.0"/>
    <numFmt numFmtId="168" formatCode="#,##0.0000"/>
    <numFmt numFmtId="169" formatCode="0.0000000000"/>
    <numFmt numFmtId="170" formatCode="0.000E+00"/>
    <numFmt numFmtId="171" formatCode="0.000000000"/>
    <numFmt numFmtId="172" formatCode="0.000000"/>
    <numFmt numFmtId="173" formatCode="0.0000000"/>
  </numFmts>
  <fonts count="2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3"/>
      <color rgb="FF44546A"/>
      <name val="Calibri"/>
      <family val="2"/>
    </font>
    <font>
      <b/>
      <sz val="15"/>
      <color rgb="FF44546A"/>
      <name val="Calibri"/>
      <family val="2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44546A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5"/>
      <color rgb="FF44546A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ptos Narrow"/>
      <family val="2"/>
    </font>
    <font>
      <sz val="14"/>
      <name val="Aptos Narrow"/>
      <family val="2"/>
    </font>
    <font>
      <b/>
      <sz val="11"/>
      <name val="ADLaM Display"/>
    </font>
    <font>
      <b/>
      <sz val="14"/>
      <name val="ADLaM Display"/>
    </font>
    <font>
      <b/>
      <sz val="16"/>
      <name val="ADLaM Display"/>
    </font>
    <font>
      <sz val="16"/>
      <name val="ADLaM Display"/>
    </font>
    <font>
      <b/>
      <sz val="14"/>
      <name val="Arial"/>
      <family val="2"/>
    </font>
    <font>
      <b/>
      <sz val="14"/>
      <name val="Aptos Narrow"/>
    </font>
  </fonts>
  <fills count="3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4472C4"/>
      </bottom>
      <diagonal/>
    </border>
    <border>
      <left style="medium">
        <color rgb="FFCCCCCC"/>
      </left>
      <right/>
      <top style="medium">
        <color rgb="FFCCCCCC"/>
      </top>
      <bottom style="thick">
        <color rgb="FF4472C4"/>
      </bottom>
      <diagonal/>
    </border>
    <border>
      <left/>
      <right style="medium">
        <color rgb="FFCCCCCC"/>
      </right>
      <top style="medium">
        <color rgb="FFCCCCCC"/>
      </top>
      <bottom style="thick">
        <color rgb="FF4472C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A1B8E1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4" fontId="0" fillId="0" borderId="0" xfId="0" applyNumberFormat="1" applyFont="1" applyAlignment="1" applyProtection="1">
      <alignment horizontal="left" vertical="top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3" fontId="5" fillId="7" borderId="2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1" fontId="0" fillId="0" borderId="0" xfId="0" applyNumberFormat="1"/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13" borderId="2" xfId="0" applyFont="1" applyFill="1" applyBorder="1" applyAlignment="1">
      <alignment horizontal="center" vertical="center" wrapText="1"/>
    </xf>
    <xf numFmtId="168" fontId="11" fillId="0" borderId="2" xfId="0" applyNumberFormat="1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vertical="center" wrapText="1"/>
    </xf>
    <xf numFmtId="1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11" fillId="14" borderId="2" xfId="0" applyFont="1" applyFill="1" applyBorder="1" applyAlignment="1">
      <alignment horizontal="center" vertical="center" wrapText="1"/>
    </xf>
    <xf numFmtId="169" fontId="8" fillId="0" borderId="2" xfId="0" applyNumberFormat="1" applyFont="1" applyBorder="1" applyAlignment="1">
      <alignment vertical="center" wrapText="1"/>
    </xf>
    <xf numFmtId="170" fontId="8" fillId="14" borderId="2" xfId="0" applyNumberFormat="1" applyFont="1" applyFill="1" applyBorder="1" applyAlignment="1">
      <alignment vertical="center" wrapText="1"/>
    </xf>
    <xf numFmtId="170" fontId="8" fillId="0" borderId="2" xfId="0" applyNumberFormat="1" applyFont="1" applyBorder="1" applyAlignment="1">
      <alignment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67" fontId="12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vertical="center" wrapText="1"/>
    </xf>
    <xf numFmtId="0" fontId="8" fillId="15" borderId="2" xfId="0" applyFont="1" applyFill="1" applyBorder="1" applyAlignment="1">
      <alignment vertical="center" wrapText="1"/>
    </xf>
    <xf numFmtId="166" fontId="8" fillId="0" borderId="2" xfId="0" applyNumberFormat="1" applyFont="1" applyBorder="1" applyAlignment="1">
      <alignment vertical="center" wrapText="1"/>
    </xf>
    <xf numFmtId="0" fontId="8" fillId="14" borderId="2" xfId="0" applyFont="1" applyFill="1" applyBorder="1" applyAlignment="1">
      <alignment vertical="center" wrapText="1"/>
    </xf>
    <xf numFmtId="171" fontId="8" fillId="0" borderId="2" xfId="0" applyNumberFormat="1" applyFont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1" fontId="0" fillId="0" borderId="7" xfId="0" applyNumberForma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16" borderId="17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1" fontId="0" fillId="19" borderId="7" xfId="0" applyNumberFormat="1" applyFill="1" applyBorder="1" applyAlignment="1">
      <alignment horizontal="center" vertical="center"/>
    </xf>
    <xf numFmtId="1" fontId="0" fillId="17" borderId="26" xfId="0" applyNumberFormat="1" applyFill="1" applyBorder="1" applyAlignment="1">
      <alignment vertical="center"/>
    </xf>
    <xf numFmtId="1" fontId="0" fillId="0" borderId="7" xfId="0" applyNumberFormat="1" applyBorder="1" applyAlignment="1">
      <alignment vertical="center"/>
    </xf>
    <xf numFmtId="1" fontId="0" fillId="19" borderId="7" xfId="0" applyNumberFormat="1" applyFill="1" applyBorder="1" applyAlignment="1">
      <alignment vertical="center"/>
    </xf>
    <xf numFmtId="1" fontId="0" fillId="18" borderId="7" xfId="0" applyNumberFormat="1" applyFill="1" applyBorder="1" applyAlignment="1">
      <alignment vertical="center"/>
    </xf>
    <xf numFmtId="0" fontId="0" fillId="22" borderId="7" xfId="0" applyFill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23" borderId="17" xfId="0" applyFill="1" applyBorder="1" applyAlignment="1">
      <alignment horizontal="center" vertical="center"/>
    </xf>
    <xf numFmtId="0" fontId="0" fillId="23" borderId="7" xfId="0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/>
    </xf>
    <xf numFmtId="1" fontId="0" fillId="22" borderId="7" xfId="0" applyNumberFormat="1" applyFill="1" applyBorder="1" applyAlignment="1">
      <alignment horizontal="center" vertical="center"/>
    </xf>
    <xf numFmtId="1" fontId="0" fillId="22" borderId="7" xfId="0" applyNumberFormat="1" applyFill="1" applyBorder="1" applyAlignment="1">
      <alignment vertical="center"/>
    </xf>
    <xf numFmtId="0" fontId="0" fillId="3" borderId="1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9" borderId="2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27" borderId="0" xfId="0" applyNumberFormat="1" applyFill="1" applyAlignment="1">
      <alignment horizontal="center" vertical="center"/>
    </xf>
    <xf numFmtId="172" fontId="0" fillId="27" borderId="0" xfId="0" applyNumberFormat="1" applyFill="1" applyAlignment="1">
      <alignment horizontal="center" vertical="center"/>
    </xf>
    <xf numFmtId="0" fontId="11" fillId="27" borderId="1" xfId="0" applyFont="1" applyFill="1" applyBorder="1" applyAlignment="1">
      <alignment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8" fillId="26" borderId="2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top" wrapText="1"/>
    </xf>
    <xf numFmtId="0" fontId="20" fillId="2" borderId="7" xfId="0" applyFont="1" applyFill="1" applyBorder="1" applyAlignment="1">
      <alignment horizontal="center" vertical="top" wrapText="1"/>
    </xf>
    <xf numFmtId="0" fontId="20" fillId="12" borderId="7" xfId="0" applyFont="1" applyFill="1" applyBorder="1" applyAlignment="1">
      <alignment horizontal="center" vertical="top" wrapText="1"/>
    </xf>
    <xf numFmtId="0" fontId="3" fillId="12" borderId="7" xfId="0" applyFont="1" applyFill="1" applyBorder="1" applyAlignment="1">
      <alignment horizontal="center" vertical="center" wrapText="1"/>
    </xf>
    <xf numFmtId="0" fontId="3" fillId="25" borderId="7" xfId="0" applyFont="1" applyFill="1" applyBorder="1" applyAlignment="1">
      <alignment horizontal="center" vertical="center" wrapText="1"/>
    </xf>
    <xf numFmtId="0" fontId="1" fillId="25" borderId="18" xfId="0" applyFont="1" applyFill="1" applyBorder="1" applyAlignment="1">
      <alignment horizontal="center" vertical="center" wrapText="1"/>
    </xf>
    <xf numFmtId="0" fontId="1" fillId="25" borderId="17" xfId="0" applyFont="1" applyFill="1" applyBorder="1" applyAlignment="1">
      <alignment horizontal="center" vertical="center"/>
    </xf>
    <xf numFmtId="0" fontId="2" fillId="28" borderId="17" xfId="0" applyFont="1" applyFill="1" applyBorder="1" applyAlignment="1">
      <alignment horizontal="center" vertical="center"/>
    </xf>
    <xf numFmtId="1" fontId="0" fillId="27" borderId="28" xfId="0" applyNumberFormat="1" applyFill="1" applyBorder="1"/>
    <xf numFmtId="0" fontId="11" fillId="27" borderId="17" xfId="0" applyFont="1" applyFill="1" applyBorder="1" applyAlignment="1">
      <alignment horizontal="center" vertical="center"/>
    </xf>
    <xf numFmtId="0" fontId="11" fillId="27" borderId="7" xfId="0" applyFont="1" applyFill="1" applyBorder="1" applyAlignment="1">
      <alignment horizontal="center" vertical="center"/>
    </xf>
    <xf numFmtId="0" fontId="9" fillId="27" borderId="18" xfId="0" applyFont="1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18" fillId="25" borderId="0" xfId="0" applyFont="1" applyFill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25" borderId="7" xfId="0" applyFont="1" applyFill="1" applyBorder="1" applyAlignment="1">
      <alignment horizontal="center" wrapText="1"/>
    </xf>
    <xf numFmtId="0" fontId="19" fillId="10" borderId="7" xfId="0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top" wrapText="1"/>
    </xf>
    <xf numFmtId="0" fontId="2" fillId="25" borderId="0" xfId="0" applyFont="1" applyFill="1" applyAlignment="1">
      <alignment horizontal="center"/>
    </xf>
    <xf numFmtId="0" fontId="2" fillId="25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2" fillId="27" borderId="12" xfId="0" applyFont="1" applyFill="1" applyBorder="1" applyAlignment="1">
      <alignment horizontal="center"/>
    </xf>
    <xf numFmtId="0" fontId="22" fillId="27" borderId="13" xfId="0" applyFont="1" applyFill="1" applyBorder="1" applyAlignment="1">
      <alignment horizontal="center"/>
    </xf>
    <xf numFmtId="0" fontId="22" fillId="27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27" borderId="12" xfId="0" applyFont="1" applyFill="1" applyBorder="1" applyAlignment="1">
      <alignment horizontal="center"/>
    </xf>
    <xf numFmtId="0" fontId="23" fillId="27" borderId="13" xfId="0" applyFont="1" applyFill="1" applyBorder="1" applyAlignment="1">
      <alignment horizontal="center"/>
    </xf>
    <xf numFmtId="0" fontId="23" fillId="27" borderId="14" xfId="0" applyFont="1" applyFill="1" applyBorder="1" applyAlignment="1">
      <alignment horizontal="center"/>
    </xf>
    <xf numFmtId="0" fontId="24" fillId="27" borderId="12" xfId="0" applyFont="1" applyFill="1" applyBorder="1" applyAlignment="1">
      <alignment horizontal="center"/>
    </xf>
    <xf numFmtId="0" fontId="24" fillId="27" borderId="13" xfId="0" applyFont="1" applyFill="1" applyBorder="1" applyAlignment="1">
      <alignment horizontal="center"/>
    </xf>
    <xf numFmtId="0" fontId="24" fillId="27" borderId="14" xfId="0" applyFont="1" applyFill="1" applyBorder="1" applyAlignment="1">
      <alignment horizontal="center"/>
    </xf>
    <xf numFmtId="0" fontId="0" fillId="24" borderId="17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23" borderId="7" xfId="0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1" fillId="27" borderId="27" xfId="0" applyFont="1" applyFill="1" applyBorder="1" applyAlignment="1">
      <alignment horizontal="center"/>
    </xf>
    <xf numFmtId="0" fontId="11" fillId="27" borderId="28" xfId="0" applyFont="1" applyFill="1" applyBorder="1" applyAlignment="1">
      <alignment horizontal="center"/>
    </xf>
    <xf numFmtId="0" fontId="0" fillId="27" borderId="28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2" fillId="25" borderId="17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/>
    </xf>
    <xf numFmtId="0" fontId="2" fillId="25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21" fillId="27" borderId="12" xfId="0" applyFont="1" applyFill="1" applyBorder="1" applyAlignment="1">
      <alignment horizontal="center"/>
    </xf>
    <xf numFmtId="0" fontId="21" fillId="27" borderId="13" xfId="0" applyFont="1" applyFill="1" applyBorder="1" applyAlignment="1">
      <alignment horizontal="center"/>
    </xf>
    <xf numFmtId="0" fontId="21" fillId="27" borderId="14" xfId="0" applyFont="1" applyFill="1" applyBorder="1" applyAlignment="1">
      <alignment horizontal="center"/>
    </xf>
    <xf numFmtId="0" fontId="0" fillId="17" borderId="22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9" borderId="0" xfId="0" applyFill="1" applyAlignment="1">
      <alignment horizontal="center"/>
    </xf>
    <xf numFmtId="0" fontId="0" fillId="29" borderId="0" xfId="0" applyFill="1"/>
    <xf numFmtId="0" fontId="0" fillId="30" borderId="0" xfId="0" applyFill="1" applyAlignment="1">
      <alignment horizontal="center"/>
    </xf>
    <xf numFmtId="0" fontId="0" fillId="30" borderId="0" xfId="0" applyFill="1"/>
    <xf numFmtId="0" fontId="0" fillId="0" borderId="0" xfId="0" applyAlignme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00FFCC"/>
      <color rgb="FFCC99FF"/>
      <color rgb="FF9933FF"/>
      <color rgb="FFFF99FF"/>
      <color rgb="FFFF0066"/>
      <color rgb="FF66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1060315</xdr:colOff>
      <xdr:row>2</xdr:row>
      <xdr:rowOff>2229</xdr:rowOff>
    </xdr:from>
    <xdr:to>
      <xdr:col>3</xdr:col>
      <xdr:colOff>214212</xdr:colOff>
      <xdr:row>4</xdr:row>
      <xdr:rowOff>98898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187B279-16E0-E88D-2105-75DD64161B7B}"/>
                </a:ext>
              </a:extLst>
            </xdr:cNvPr>
            <xdr:cNvSpPr txBox="1"/>
          </xdr:nvSpPr>
          <xdr:spPr>
            <a:xfrm>
              <a:off x="1746115" y="440379"/>
              <a:ext cx="2544797" cy="62054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𝑇𝐵𝑁</m:t>
                    </m:r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∗1000</m:t>
                    </m:r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xmlns:a14="http://schemas.microsoft.com/office/drawing/2010/main" xmlns="" id="{5187B279-16E0-E88D-2105-75DD64161B7B}"/>
                </a:ext>
              </a:extLst>
            </xdr:cNvPr>
            <xdr:cNvSpPr txBox="1"/>
          </xdr:nvSpPr>
          <xdr:spPr>
            <a:xfrm>
              <a:off x="1746115" y="440379"/>
              <a:ext cx="2544797" cy="62054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𝑇𝐵𝑁=𝑁_𝑇/𝑃_𝑇 ∗1000</a:t>
              </a:r>
              <a:endParaRPr lang="es-MX" sz="1100" kern="1200"/>
            </a:p>
          </xdr:txBody>
        </xdr:sp>
      </mc:Fallback>
    </mc:AlternateContent>
    <xdr:clientData/>
  </xdr:twoCellAnchor>
  <xdr:twoCellAnchor>
    <xdr:from>
      <xdr:col>10</xdr:col>
      <xdr:colOff>571500</xdr:colOff>
      <xdr:row>1</xdr:row>
      <xdr:rowOff>19050</xdr:rowOff>
    </xdr:from>
    <xdr:to>
      <xdr:col>13</xdr:col>
      <xdr:colOff>200025</xdr:colOff>
      <xdr:row>3</xdr:row>
      <xdr:rowOff>123825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C593505-3643-4316-8AB6-3907A2F82733}"/>
                </a:ext>
              </a:extLst>
            </xdr:cNvPr>
            <xdr:cNvSpPr txBox="1"/>
          </xdr:nvSpPr>
          <xdr:spPr>
            <a:xfrm>
              <a:off x="12630150" y="276225"/>
              <a:ext cx="21431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𝑇𝐹𝐺</m:t>
                    </m:r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𝑃𝐹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15−49</m:t>
                            </m:r>
                          </m:sub>
                        </m:sSub>
                      </m:den>
                    </m:f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∗1000</m:t>
                    </m:r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xmlns:a14="http://schemas.microsoft.com/office/drawing/2010/main" xmlns="" id="{AC593505-3643-4316-8AB6-3907A2F82733}"/>
                </a:ext>
              </a:extLst>
            </xdr:cNvPr>
            <xdr:cNvSpPr txBox="1"/>
          </xdr:nvSpPr>
          <xdr:spPr>
            <a:xfrm>
              <a:off x="12630150" y="276225"/>
              <a:ext cx="21431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𝑇𝐹𝐺=𝑁_𝑇/〖𝑃𝐹〗_(15−49) ∗1000</a:t>
              </a:r>
              <a:endParaRPr lang="es-MX" sz="1100" kern="1200"/>
            </a:p>
          </xdr:txBody>
        </xdr:sp>
      </mc:Fallback>
    </mc:AlternateContent>
    <xdr:clientData/>
  </xdr:twoCellAnchor>
  <xdr:twoCellAnchor>
    <xdr:from>
      <xdr:col>22</xdr:col>
      <xdr:colOff>2639714</xdr:colOff>
      <xdr:row>1</xdr:row>
      <xdr:rowOff>137917</xdr:rowOff>
    </xdr:from>
    <xdr:to>
      <xdr:col>24</xdr:col>
      <xdr:colOff>702469</xdr:colOff>
      <xdr:row>3</xdr:row>
      <xdr:rowOff>242692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3CB426C-DCC2-4E3F-9ABB-ABCD7A8981CF}"/>
                </a:ext>
              </a:extLst>
            </xdr:cNvPr>
            <xdr:cNvSpPr txBox="1"/>
          </xdr:nvSpPr>
          <xdr:spPr>
            <a:xfrm>
              <a:off x="27480914" y="395092"/>
              <a:ext cx="250140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𝑇𝐸𝐹</m:t>
                    </m:r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𝑃𝐹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xmlns:a14="http://schemas.microsoft.com/office/drawing/2010/main" xmlns="" id="{F3CB426C-DCC2-4E3F-9ABB-ABCD7A8981CF}"/>
                </a:ext>
              </a:extLst>
            </xdr:cNvPr>
            <xdr:cNvSpPr txBox="1"/>
          </xdr:nvSpPr>
          <xdr:spPr>
            <a:xfrm>
              <a:off x="27480914" y="395092"/>
              <a:ext cx="250140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𝑇𝐸𝐹=𝑁_𝑖/(〖𝑃𝐹〗_𝑖^𝑀 )</a:t>
              </a:r>
              <a:endParaRPr lang="es-MX" sz="1100" kern="1200"/>
            </a:p>
          </xdr:txBody>
        </xdr:sp>
      </mc:Fallback>
    </mc:AlternateContent>
    <xdr:clientData/>
  </xdr:twoCellAnchor>
  <xdr:twoCellAnchor>
    <xdr:from>
      <xdr:col>30</xdr:col>
      <xdr:colOff>631031</xdr:colOff>
      <xdr:row>1</xdr:row>
      <xdr:rowOff>107156</xdr:rowOff>
    </xdr:from>
    <xdr:to>
      <xdr:col>32</xdr:col>
      <xdr:colOff>1690687</xdr:colOff>
      <xdr:row>4</xdr:row>
      <xdr:rowOff>367322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E9C814E-929F-4A68-847E-1012D92411E6}"/>
                </a:ext>
              </a:extLst>
            </xdr:cNvPr>
            <xdr:cNvSpPr txBox="1"/>
          </xdr:nvSpPr>
          <xdr:spPr>
            <a:xfrm>
              <a:off x="39064406" y="364331"/>
              <a:ext cx="2736056" cy="9364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0" i="1" kern="1200">
                        <a:latin typeface="Cambria Math" panose="02040503050406030204" pitchFamily="18" charset="0"/>
                      </a:rPr>
                      <m:t>𝑇𝐺𝐹</m:t>
                    </m:r>
                    <m:r>
                      <a:rPr lang="es-ES" sz="1600" b="0" i="1" kern="1200">
                        <a:latin typeface="Cambria Math" panose="02040503050406030204" pitchFamily="18" charset="0"/>
                      </a:rPr>
                      <m:t>=5</m:t>
                    </m:r>
                    <m:d>
                      <m:dPr>
                        <m:ctrlPr>
                          <a:rPr lang="es-ES" sz="16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s-ES" sz="1600" b="0" i="1" kern="1200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ES" sz="16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1600" b="0" i="1" kern="1200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ES" sz="1600" b="0" i="1" kern="1200">
                                <a:latin typeface="Cambria Math" panose="02040503050406030204" pitchFamily="18" charset="0"/>
                              </a:rPr>
                              <m:t>7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ES" sz="16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1600" b="0" i="1" kern="1200">
                                    <a:latin typeface="Cambria Math" panose="02040503050406030204" pitchFamily="18" charset="0"/>
                                  </a:rPr>
                                  <m:t>𝑇𝐸𝐹</m:t>
                                </m:r>
                              </m:e>
                              <m:sub>
                                <m:r>
                                  <a:rPr lang="es-ES" sz="1600" b="0" i="1" kern="1200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sub>
                            </m:sSub>
                          </m:e>
                        </m:nary>
                      </m:e>
                    </m:d>
                  </m:oMath>
                </m:oMathPara>
              </a14:m>
              <a:endParaRPr lang="es-MX" sz="1600" kern="12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xmlns:a14="http://schemas.microsoft.com/office/drawing/2010/main" xmlns="" id="{9E9C814E-929F-4A68-847E-1012D92411E6}"/>
                </a:ext>
              </a:extLst>
            </xdr:cNvPr>
            <xdr:cNvSpPr txBox="1"/>
          </xdr:nvSpPr>
          <xdr:spPr>
            <a:xfrm>
              <a:off x="39064406" y="364331"/>
              <a:ext cx="2736056" cy="9364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600" b="0" i="0" kern="1200">
                  <a:latin typeface="Cambria Math" panose="02040503050406030204" pitchFamily="18" charset="0"/>
                </a:rPr>
                <a:t>𝑇𝐺𝐹=5(∑_(𝑖=1)^7▒〖𝑇𝐸𝐹〗_𝐼 )</a:t>
              </a:r>
              <a:endParaRPr lang="es-MX" sz="1600" kern="1200"/>
            </a:p>
          </xdr:txBody>
        </xdr:sp>
      </mc:Fallback>
    </mc:AlternateContent>
    <xdr:clientData/>
  </xdr:twoCellAnchor>
  <xdr:twoCellAnchor>
    <xdr:from>
      <xdr:col>35</xdr:col>
      <xdr:colOff>1381125</xdr:colOff>
      <xdr:row>1</xdr:row>
      <xdr:rowOff>83343</xdr:rowOff>
    </xdr:from>
    <xdr:to>
      <xdr:col>37</xdr:col>
      <xdr:colOff>333375</xdr:colOff>
      <xdr:row>3</xdr:row>
      <xdr:rowOff>226218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A1F644A-635F-4B88-8902-0D0881B3403B}"/>
                </a:ext>
              </a:extLst>
            </xdr:cNvPr>
            <xdr:cNvSpPr txBox="1"/>
          </xdr:nvSpPr>
          <xdr:spPr>
            <a:xfrm>
              <a:off x="46034325" y="340518"/>
              <a:ext cx="2343150" cy="504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𝑇𝐵𝑅</m:t>
                    </m:r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𝑇𝐺𝐹</m:t>
                    </m:r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xmlns:a14="http://schemas.microsoft.com/office/drawing/2010/main" xmlns="" id="{2A1F644A-635F-4B88-8902-0D0881B3403B}"/>
                </a:ext>
              </a:extLst>
            </xdr:cNvPr>
            <xdr:cNvSpPr txBox="1"/>
          </xdr:nvSpPr>
          <xdr:spPr>
            <a:xfrm>
              <a:off x="46034325" y="340518"/>
              <a:ext cx="2343150" cy="504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𝑇𝐵𝑅=𝑁_𝑀/𝑁_𝑇 ∗𝑇𝐺𝐹</a:t>
              </a:r>
              <a:endParaRPr lang="es-MX" sz="1100" kern="1200"/>
            </a:p>
          </xdr:txBody>
        </xdr:sp>
      </mc:Fallback>
    </mc:AlternateContent>
    <xdr:clientData/>
  </xdr:twoCellAnchor>
  <xdr:twoCellAnchor>
    <xdr:from>
      <xdr:col>43</xdr:col>
      <xdr:colOff>631030</xdr:colOff>
      <xdr:row>1</xdr:row>
      <xdr:rowOff>35720</xdr:rowOff>
    </xdr:from>
    <xdr:to>
      <xdr:col>47</xdr:col>
      <xdr:colOff>535781</xdr:colOff>
      <xdr:row>3</xdr:row>
      <xdr:rowOff>333376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3326B85-527E-4B99-B788-2554595C2E7F}"/>
                </a:ext>
              </a:extLst>
            </xdr:cNvPr>
            <xdr:cNvSpPr txBox="1"/>
          </xdr:nvSpPr>
          <xdr:spPr>
            <a:xfrm>
              <a:off x="55971280" y="292895"/>
              <a:ext cx="3257551" cy="6596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200" b="0" i="1" kern="1200">
                        <a:latin typeface="Cambria Math" panose="02040503050406030204" pitchFamily="18" charset="0"/>
                      </a:rPr>
                      <m:t>𝑇𝑁𝑅</m:t>
                    </m:r>
                    <m:r>
                      <a:rPr lang="es-ES" sz="1200" b="0" i="1" kern="1200">
                        <a:latin typeface="Cambria Math" panose="02040503050406030204" pitchFamily="18" charset="0"/>
                      </a:rPr>
                      <m:t>=5</m:t>
                    </m:r>
                    <m:r>
                      <a:rPr lang="es-ES" sz="1200" b="0" i="1" kern="1200">
                        <a:latin typeface="Cambria Math" panose="02040503050406030204" pitchFamily="18" charset="0"/>
                      </a:rPr>
                      <m:t>𝐾</m:t>
                    </m:r>
                    <m:d>
                      <m:dPr>
                        <m:ctrlPr>
                          <a:rPr lang="es-ES" sz="12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s-ES" sz="1200" b="0" i="1" kern="1200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ES" sz="12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1200" b="0" i="1" kern="1200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ES" sz="1200" b="0" i="1" kern="1200">
                                <a:latin typeface="Cambria Math" panose="02040503050406030204" pitchFamily="18" charset="0"/>
                              </a:rPr>
                              <m:t>7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  <m:t>𝑇𝐸𝐹</m:t>
                                </m:r>
                              </m:e>
                              <m:sub>
                                <m: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sub>
                            </m:sSub>
                            <m:r>
                              <a:rPr lang="es-ES" sz="1200" b="0" i="1" kern="1200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sSub>
                                  <m:sSubPr>
                                    <m:ctrlPr>
                                      <a:rPr lang="es-ES" sz="12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200" b="0" i="1" kern="1200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s-ES" sz="1200" b="0" i="1" kern="1200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  <m:t>5∗</m:t>
                                </m:r>
                                <m:r>
                                  <a:rPr lang="es-ES" sz="1200" b="0" i="1" kern="1200">
                                    <a:latin typeface="Cambria Math" panose="02040503050406030204" pitchFamily="18" charset="0"/>
                                  </a:rPr>
                                  <m:t>𝑅𝑎𝑑𝑖𝑥</m:t>
                                </m:r>
                              </m:den>
                            </m:f>
                          </m:e>
                        </m:nary>
                      </m:e>
                    </m:d>
                  </m:oMath>
                </m:oMathPara>
              </a14:m>
              <a:endParaRPr lang="es-MX" sz="1200" kern="12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xmlns:a14="http://schemas.microsoft.com/office/drawing/2010/main" xmlns="" id="{A3326B85-527E-4B99-B788-2554595C2E7F}"/>
                </a:ext>
              </a:extLst>
            </xdr:cNvPr>
            <xdr:cNvSpPr txBox="1"/>
          </xdr:nvSpPr>
          <xdr:spPr>
            <a:xfrm>
              <a:off x="55971280" y="292895"/>
              <a:ext cx="3257551" cy="6596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200" b="0" i="0" kern="1200">
                  <a:latin typeface="Cambria Math" panose="02040503050406030204" pitchFamily="18" charset="0"/>
                </a:rPr>
                <a:t>𝑇𝑁𝑅=5𝐾(∑_(𝑖=1)^7▒〖〖𝑇𝐸𝐹〗_𝐼∗(𝑛𝐿_𝑥)/(5∗𝑅𝑎𝑑𝑖𝑥)〗)</a:t>
              </a:r>
              <a:endParaRPr lang="es-MX" sz="1200" kern="1200"/>
            </a:p>
          </xdr:txBody>
        </xdr:sp>
      </mc:Fallback>
    </mc:AlternateContent>
    <xdr:clientData/>
  </xdr:twoCellAnchor>
  <xdr:twoCellAnchor>
    <xdr:from>
      <xdr:col>48</xdr:col>
      <xdr:colOff>523876</xdr:colOff>
      <xdr:row>1</xdr:row>
      <xdr:rowOff>95250</xdr:rowOff>
    </xdr:from>
    <xdr:to>
      <xdr:col>51</xdr:col>
      <xdr:colOff>369094</xdr:colOff>
      <xdr:row>3</xdr:row>
      <xdr:rowOff>214312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DFA7578-705E-4F17-906D-697FB08DC75F}"/>
                </a:ext>
              </a:extLst>
            </xdr:cNvPr>
            <xdr:cNvSpPr txBox="1"/>
          </xdr:nvSpPr>
          <xdr:spPr>
            <a:xfrm>
              <a:off x="60055126" y="352425"/>
              <a:ext cx="2359818" cy="48101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200" b="0" i="1" kern="1200">
                        <a:latin typeface="Cambria Math" panose="02040503050406030204" pitchFamily="18" charset="0"/>
                      </a:rPr>
                      <m:t>𝐾</m:t>
                    </m:r>
                    <m:r>
                      <a:rPr lang="es-ES" sz="12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𝑇𝐵𝑅</m:t>
                        </m:r>
                      </m:num>
                      <m:den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𝑇𝐺𝐹</m:t>
                        </m:r>
                      </m:den>
                    </m:f>
                  </m:oMath>
                </m:oMathPara>
              </a14:m>
              <a:endParaRPr lang="es-MX" sz="1200" kern="12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xmlns:a14="http://schemas.microsoft.com/office/drawing/2010/main" xmlns="" id="{FDFA7578-705E-4F17-906D-697FB08DC75F}"/>
                </a:ext>
              </a:extLst>
            </xdr:cNvPr>
            <xdr:cNvSpPr txBox="1"/>
          </xdr:nvSpPr>
          <xdr:spPr>
            <a:xfrm>
              <a:off x="60055126" y="352425"/>
              <a:ext cx="2359818" cy="48101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ES" sz="1200" b="0" i="0" kern="1200">
                  <a:latin typeface="Cambria Math" panose="02040503050406030204" pitchFamily="18" charset="0"/>
                </a:rPr>
                <a:t>𝐾=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𝑁_𝑀/𝑁_𝑇 =𝑇𝐵𝑅/𝑇𝐺𝐹</a:t>
              </a:r>
              <a:endParaRPr lang="es-MX" sz="1200" kern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zoomScale="80" zoomScaleNormal="80" workbookViewId="0">
      <selection activeCell="O8" sqref="O8"/>
    </sheetView>
  </sheetViews>
  <sheetFormatPr baseColWidth="10" defaultRowHeight="15"/>
  <cols>
    <col min="2" max="2" width="46.28515625" customWidth="1"/>
    <col min="3" max="4" width="13" customWidth="1"/>
    <col min="5" max="5" width="14.7109375" customWidth="1"/>
    <col min="6" max="6" width="12.7109375" customWidth="1"/>
  </cols>
  <sheetData>
    <row r="1" spans="1:12" ht="18">
      <c r="A1" s="144" t="s">
        <v>80</v>
      </c>
      <c r="B1" s="144"/>
    </row>
    <row r="2" spans="1:12" ht="15.75" thickBot="1"/>
    <row r="3" spans="1:12" ht="27.75" customHeight="1" thickBot="1">
      <c r="B3" s="143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</row>
    <row r="4" spans="1:12" ht="18" thickBot="1">
      <c r="B4" s="2"/>
      <c r="C4" s="153">
        <v>2009</v>
      </c>
      <c r="D4" s="154"/>
      <c r="E4" s="155">
        <v>2010</v>
      </c>
      <c r="F4" s="156"/>
      <c r="G4" s="157">
        <v>2011</v>
      </c>
      <c r="H4" s="158"/>
      <c r="I4" s="159">
        <v>2019</v>
      </c>
      <c r="J4" s="160"/>
      <c r="K4" s="161">
        <v>2020</v>
      </c>
      <c r="L4" s="162"/>
    </row>
    <row r="5" spans="1:12" ht="18.75" thickTop="1" thickBot="1">
      <c r="B5" s="3" t="s">
        <v>2</v>
      </c>
      <c r="C5" s="4" t="s">
        <v>3</v>
      </c>
      <c r="D5" s="4" t="s">
        <v>4</v>
      </c>
      <c r="E5" s="5" t="s">
        <v>3</v>
      </c>
      <c r="F5" s="5" t="s">
        <v>4</v>
      </c>
      <c r="G5" s="6" t="s">
        <v>3</v>
      </c>
      <c r="H5" s="6" t="s">
        <v>4</v>
      </c>
      <c r="I5" s="7" t="s">
        <v>3</v>
      </c>
      <c r="J5" s="7" t="s">
        <v>4</v>
      </c>
      <c r="K5" s="8" t="s">
        <v>3</v>
      </c>
      <c r="L5" s="8" t="s">
        <v>4</v>
      </c>
    </row>
    <row r="6" spans="1:12" ht="18.75" thickTop="1" thickBot="1">
      <c r="A6" s="9"/>
      <c r="B6" s="3" t="s">
        <v>5</v>
      </c>
      <c r="C6" s="4">
        <v>3</v>
      </c>
      <c r="D6" s="4">
        <v>8</v>
      </c>
      <c r="E6" s="5">
        <v>3</v>
      </c>
      <c r="F6" s="5">
        <v>6</v>
      </c>
      <c r="G6" s="6">
        <v>3</v>
      </c>
      <c r="H6" s="6">
        <v>7</v>
      </c>
      <c r="I6" s="7">
        <v>3</v>
      </c>
      <c r="J6" s="7">
        <v>7</v>
      </c>
      <c r="K6" s="8">
        <v>4</v>
      </c>
      <c r="L6" s="8">
        <v>2</v>
      </c>
    </row>
    <row r="7" spans="1:12" ht="18.75" thickTop="1" thickBot="1">
      <c r="A7" s="9"/>
      <c r="B7" s="3" t="s">
        <v>6</v>
      </c>
      <c r="C7" s="10">
        <v>283</v>
      </c>
      <c r="D7" s="10">
        <v>275</v>
      </c>
      <c r="E7" s="11">
        <v>270</v>
      </c>
      <c r="F7" s="11">
        <v>283</v>
      </c>
      <c r="G7" s="12">
        <v>341</v>
      </c>
      <c r="H7" s="12">
        <v>292</v>
      </c>
      <c r="I7" s="13">
        <v>484</v>
      </c>
      <c r="J7" s="13">
        <v>429</v>
      </c>
      <c r="K7" s="8">
        <v>254</v>
      </c>
      <c r="L7" s="8">
        <v>235</v>
      </c>
    </row>
    <row r="8" spans="1:12" ht="18.75" thickTop="1" thickBot="1">
      <c r="A8" s="9"/>
      <c r="B8" s="3" t="s">
        <v>7</v>
      </c>
      <c r="C8" s="10">
        <v>405</v>
      </c>
      <c r="D8" s="10">
        <v>393</v>
      </c>
      <c r="E8" s="11">
        <v>438</v>
      </c>
      <c r="F8" s="11">
        <v>410</v>
      </c>
      <c r="G8" s="12">
        <v>531</v>
      </c>
      <c r="H8" s="12">
        <v>500</v>
      </c>
      <c r="I8" s="13">
        <v>827</v>
      </c>
      <c r="J8" s="13">
        <v>800</v>
      </c>
      <c r="K8" s="14">
        <v>559</v>
      </c>
      <c r="L8" s="14">
        <v>587</v>
      </c>
    </row>
    <row r="9" spans="1:12" ht="18.75" thickTop="1" thickBot="1">
      <c r="A9" s="9"/>
      <c r="B9" s="3" t="s">
        <v>8</v>
      </c>
      <c r="C9" s="10">
        <v>312</v>
      </c>
      <c r="D9" s="10">
        <v>305</v>
      </c>
      <c r="E9" s="11">
        <v>315</v>
      </c>
      <c r="F9" s="11">
        <v>334</v>
      </c>
      <c r="G9" s="12">
        <v>525</v>
      </c>
      <c r="H9" s="12">
        <v>453</v>
      </c>
      <c r="I9" s="13">
        <v>883</v>
      </c>
      <c r="J9" s="13">
        <v>878</v>
      </c>
      <c r="K9" s="14">
        <v>648</v>
      </c>
      <c r="L9" s="14">
        <v>592</v>
      </c>
    </row>
    <row r="10" spans="1:12" ht="18.75" thickTop="1" thickBot="1">
      <c r="A10" s="9"/>
      <c r="B10" s="3" t="s">
        <v>9</v>
      </c>
      <c r="C10" s="10">
        <v>180</v>
      </c>
      <c r="D10" s="10">
        <v>204</v>
      </c>
      <c r="E10" s="11">
        <v>173</v>
      </c>
      <c r="F10" s="11">
        <v>193</v>
      </c>
      <c r="G10" s="12">
        <v>260</v>
      </c>
      <c r="H10" s="12">
        <v>285</v>
      </c>
      <c r="I10" s="13">
        <v>658</v>
      </c>
      <c r="J10" s="13">
        <v>641</v>
      </c>
      <c r="K10" s="14">
        <v>442</v>
      </c>
      <c r="L10" s="14">
        <v>468</v>
      </c>
    </row>
    <row r="11" spans="1:12" ht="18.75" thickTop="1" thickBot="1">
      <c r="A11" s="9"/>
      <c r="B11" s="3" t="s">
        <v>10</v>
      </c>
      <c r="C11" s="10">
        <v>86</v>
      </c>
      <c r="D11" s="10">
        <v>81</v>
      </c>
      <c r="E11" s="11">
        <v>89</v>
      </c>
      <c r="F11" s="11">
        <v>101</v>
      </c>
      <c r="G11" s="12">
        <v>165</v>
      </c>
      <c r="H11" s="12">
        <v>143</v>
      </c>
      <c r="I11" s="13">
        <v>298</v>
      </c>
      <c r="J11" s="13">
        <v>277</v>
      </c>
      <c r="K11" s="8">
        <v>195</v>
      </c>
      <c r="L11" s="8">
        <v>197</v>
      </c>
    </row>
    <row r="12" spans="1:12" ht="18.75" thickTop="1" thickBot="1">
      <c r="A12" s="9"/>
      <c r="B12" s="3" t="s">
        <v>11</v>
      </c>
      <c r="C12" s="4">
        <v>24</v>
      </c>
      <c r="D12" s="4">
        <v>20</v>
      </c>
      <c r="E12" s="5">
        <v>21</v>
      </c>
      <c r="F12" s="5">
        <v>12</v>
      </c>
      <c r="G12" s="6">
        <v>19</v>
      </c>
      <c r="H12" s="6">
        <v>28</v>
      </c>
      <c r="I12" s="7">
        <v>70</v>
      </c>
      <c r="J12" s="7">
        <v>67</v>
      </c>
      <c r="K12" s="8">
        <v>49</v>
      </c>
      <c r="L12" s="8">
        <v>49</v>
      </c>
    </row>
    <row r="13" spans="1:12" ht="18.75" thickTop="1" thickBot="1">
      <c r="A13" s="9"/>
      <c r="B13" s="3" t="s">
        <v>12</v>
      </c>
      <c r="C13" s="4"/>
      <c r="D13" s="4">
        <v>3</v>
      </c>
      <c r="E13" s="5">
        <v>1</v>
      </c>
      <c r="F13" s="5">
        <v>2</v>
      </c>
      <c r="G13" s="6">
        <v>1</v>
      </c>
      <c r="H13" s="6">
        <v>2</v>
      </c>
      <c r="I13" s="7">
        <v>2</v>
      </c>
      <c r="J13" s="7">
        <v>3</v>
      </c>
      <c r="K13" s="8">
        <v>6</v>
      </c>
      <c r="L13" s="8">
        <v>1</v>
      </c>
    </row>
    <row r="14" spans="1:12" ht="18.75" thickTop="1" thickBot="1">
      <c r="A14" s="9"/>
      <c r="B14" s="3" t="s">
        <v>13</v>
      </c>
      <c r="C14" s="4"/>
      <c r="D14" s="4"/>
      <c r="E14" s="5"/>
      <c r="F14" s="5"/>
      <c r="G14" s="6"/>
      <c r="H14" s="6"/>
      <c r="I14" s="7">
        <v>1</v>
      </c>
      <c r="J14" s="7">
        <v>2</v>
      </c>
      <c r="K14" s="8" t="s">
        <v>90</v>
      </c>
      <c r="L14" s="8" t="s">
        <v>90</v>
      </c>
    </row>
    <row r="15" spans="1:12" ht="18.75" thickTop="1" thickBot="1">
      <c r="A15" s="9"/>
      <c r="B15" s="3" t="s">
        <v>14</v>
      </c>
      <c r="C15" s="4">
        <v>20</v>
      </c>
      <c r="D15" s="4">
        <v>19</v>
      </c>
      <c r="E15" s="5">
        <v>18</v>
      </c>
      <c r="F15" s="11">
        <v>53</v>
      </c>
      <c r="G15" s="6">
        <v>37</v>
      </c>
      <c r="H15" s="6">
        <v>36</v>
      </c>
      <c r="I15" s="7">
        <v>12</v>
      </c>
      <c r="J15" s="7">
        <v>7</v>
      </c>
      <c r="K15" s="8">
        <v>44</v>
      </c>
      <c r="L15" s="8">
        <v>35</v>
      </c>
    </row>
    <row r="16" spans="1:12" ht="15.75" thickTop="1"/>
    <row r="18" spans="2:12" ht="15.75" thickBot="1"/>
    <row r="19" spans="2:12" ht="18.75" thickBot="1">
      <c r="B19" s="143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ht="20.25" thickBot="1">
      <c r="B20" s="15"/>
      <c r="C20" s="163">
        <v>2009</v>
      </c>
      <c r="D20" s="164"/>
      <c r="E20" s="165">
        <v>2010</v>
      </c>
      <c r="F20" s="166"/>
      <c r="G20" s="167">
        <v>2011</v>
      </c>
      <c r="H20" s="168"/>
      <c r="I20" s="169">
        <v>2019</v>
      </c>
      <c r="J20" s="170"/>
      <c r="K20" s="151">
        <v>2020</v>
      </c>
      <c r="L20" s="152"/>
    </row>
    <row r="21" spans="2:12" ht="18.75" thickTop="1" thickBot="1">
      <c r="B21" s="16" t="s">
        <v>2</v>
      </c>
      <c r="C21" s="17" t="s">
        <v>3</v>
      </c>
      <c r="D21" s="17" t="s">
        <v>4</v>
      </c>
      <c r="E21" s="18" t="s">
        <v>3</v>
      </c>
      <c r="F21" s="18" t="s">
        <v>4</v>
      </c>
      <c r="G21" s="19" t="s">
        <v>3</v>
      </c>
      <c r="H21" s="19" t="s">
        <v>4</v>
      </c>
      <c r="I21" s="20" t="s">
        <v>3</v>
      </c>
      <c r="J21" s="20" t="s">
        <v>4</v>
      </c>
      <c r="K21" s="21" t="s">
        <v>3</v>
      </c>
      <c r="L21" s="21" t="s">
        <v>4</v>
      </c>
    </row>
    <row r="22" spans="2:12" ht="18.75" thickTop="1" thickBot="1">
      <c r="B22" s="16" t="s">
        <v>5</v>
      </c>
      <c r="C22" s="22">
        <f>C6+C6*($C$15/SUM($C$6:$C$14))</f>
        <v>3.0464037122969838</v>
      </c>
      <c r="D22" s="22">
        <f>D6+D6*($D$15/SUM($D$6:$D$14))</f>
        <v>8.1179208688906126</v>
      </c>
      <c r="E22" s="23">
        <f>E6+E6*($E$15/SUM($E$6:$E$14))</f>
        <v>3.0412213740458016</v>
      </c>
      <c r="F22" s="23">
        <f>F6+F6*($F$15/SUM($F$6:$F$14))</f>
        <v>6.2371364653243848</v>
      </c>
      <c r="G22" s="24">
        <f>G6+G6*($G$15/SUM($G$6:$G$14))</f>
        <v>3.0601626016260162</v>
      </c>
      <c r="H22" s="24">
        <f>H6+H6*($H$15/SUM($H$6:$H$14))</f>
        <v>7.1473684210526311</v>
      </c>
      <c r="I22" s="25">
        <f>I6+I6*($I$15/SUM($I$6:$I$14))</f>
        <v>3.0111593304401736</v>
      </c>
      <c r="J22" s="25">
        <f>J6+J6*($J$15/SUM($J$6:$J$14))</f>
        <v>7.0157860824742269</v>
      </c>
      <c r="K22" s="26">
        <f>K6+K6*($K$15/SUM($K$6:$K$14))</f>
        <v>4.0815948076031523</v>
      </c>
      <c r="L22" s="26">
        <f>L6+L6*($L$15/SUM($L$6:$L$14))</f>
        <v>2.0328484279680903</v>
      </c>
    </row>
    <row r="23" spans="2:12" ht="18.75" thickTop="1" thickBot="1">
      <c r="B23" s="16" t="s">
        <v>6</v>
      </c>
      <c r="C23" s="22">
        <f t="shared" ref="C23:C30" si="0">C7+C7*($C$15/SUM($C$6:$C$14))</f>
        <v>287.37741686001544</v>
      </c>
      <c r="D23" s="22">
        <f t="shared" ref="D23:D30" si="1">D7+D7*($D$15/SUM($D$6:$D$14))</f>
        <v>279.05352986811482</v>
      </c>
      <c r="E23" s="23">
        <f t="shared" ref="E23:E30" si="2">E7+E7*($E$15/SUM($E$6:$E$14))</f>
        <v>273.70992366412213</v>
      </c>
      <c r="F23" s="23">
        <f t="shared" ref="F23:F30" si="3">F7+F7*($F$15/SUM($F$6:$F$14))</f>
        <v>294.18493661446684</v>
      </c>
      <c r="G23" s="24">
        <f t="shared" ref="G23:G30" si="4">G7+G7*($G$15/SUM($G$6:$G$14))</f>
        <v>347.83848238482386</v>
      </c>
      <c r="H23" s="24">
        <f t="shared" ref="H23:H30" si="5">H7+H7*($H$15/SUM($H$6:$H$14))</f>
        <v>298.14736842105265</v>
      </c>
      <c r="I23" s="25">
        <f t="shared" ref="I23:I30" si="6">I7+I7*($I$15/SUM($I$6:$I$14))</f>
        <v>485.80037197768132</v>
      </c>
      <c r="J23" s="25">
        <f t="shared" ref="J23:J30" si="7">J7+J7*($J$15/SUM($J$6:$J$14))</f>
        <v>429.96746134020617</v>
      </c>
      <c r="K23" s="26">
        <f t="shared" ref="K23:K29" si="8">K7+K7*($K$15/SUM($K$6:$K$14))</f>
        <v>259.1812702828002</v>
      </c>
      <c r="L23" s="26">
        <f t="shared" ref="L23:L29" si="9">L7+L7*($L$15/SUM($L$6:$L$14))</f>
        <v>238.85969028625058</v>
      </c>
    </row>
    <row r="24" spans="2:12" ht="18.75" thickTop="1" thickBot="1">
      <c r="B24" s="16" t="s">
        <v>7</v>
      </c>
      <c r="C24" s="22">
        <f t="shared" si="0"/>
        <v>411.26450116009283</v>
      </c>
      <c r="D24" s="22">
        <f t="shared" si="1"/>
        <v>398.79286268425136</v>
      </c>
      <c r="E24" s="23">
        <f t="shared" si="2"/>
        <v>444.018320610687</v>
      </c>
      <c r="F24" s="23">
        <f t="shared" si="3"/>
        <v>426.20432513049963</v>
      </c>
      <c r="G24" s="24">
        <f t="shared" si="4"/>
        <v>541.64878048780486</v>
      </c>
      <c r="H24" s="24">
        <f t="shared" si="5"/>
        <v>510.5263157894737</v>
      </c>
      <c r="I24" s="25">
        <f t="shared" si="6"/>
        <v>830.07625542467451</v>
      </c>
      <c r="J24" s="25">
        <f t="shared" si="7"/>
        <v>801.80412371134025</v>
      </c>
      <c r="K24" s="26">
        <f t="shared" si="8"/>
        <v>570.40287436254062</v>
      </c>
      <c r="L24" s="26">
        <f t="shared" si="9"/>
        <v>596.64101360863447</v>
      </c>
    </row>
    <row r="25" spans="2:12" ht="18.75" thickTop="1" thickBot="1">
      <c r="B25" s="16" t="s">
        <v>8</v>
      </c>
      <c r="C25" s="22">
        <f t="shared" si="0"/>
        <v>316.82598607888633</v>
      </c>
      <c r="D25" s="22">
        <f t="shared" si="1"/>
        <v>309.49573312645464</v>
      </c>
      <c r="E25" s="23">
        <f t="shared" si="2"/>
        <v>319.32824427480915</v>
      </c>
      <c r="F25" s="23">
        <f t="shared" si="3"/>
        <v>347.2005965697241</v>
      </c>
      <c r="G25" s="24">
        <f t="shared" si="4"/>
        <v>535.52845528455282</v>
      </c>
      <c r="H25" s="24">
        <f t="shared" si="5"/>
        <v>462.53684210526313</v>
      </c>
      <c r="I25" s="25">
        <f t="shared" si="6"/>
        <v>886.28456292622445</v>
      </c>
      <c r="J25" s="25">
        <f t="shared" si="7"/>
        <v>879.98002577319585</v>
      </c>
      <c r="K25" s="26">
        <f t="shared" si="8"/>
        <v>661.2183588317107</v>
      </c>
      <c r="L25" s="26">
        <f t="shared" si="9"/>
        <v>601.72313467855463</v>
      </c>
    </row>
    <row r="26" spans="2:12" ht="18.75" thickTop="1" thickBot="1">
      <c r="B26" s="16" t="s">
        <v>9</v>
      </c>
      <c r="C26" s="22">
        <f t="shared" si="0"/>
        <v>182.78422273781902</v>
      </c>
      <c r="D26" s="22">
        <f t="shared" si="1"/>
        <v>207.00698215671062</v>
      </c>
      <c r="E26" s="23">
        <f t="shared" si="2"/>
        <v>175.37709923664121</v>
      </c>
      <c r="F26" s="23">
        <f t="shared" si="3"/>
        <v>200.62788963460105</v>
      </c>
      <c r="G26" s="24">
        <f t="shared" si="4"/>
        <v>265.21409214092142</v>
      </c>
      <c r="H26" s="24">
        <f t="shared" si="5"/>
        <v>291</v>
      </c>
      <c r="I26" s="25">
        <f t="shared" si="6"/>
        <v>660.44761314321136</v>
      </c>
      <c r="J26" s="25">
        <f t="shared" si="7"/>
        <v>642.4455541237113</v>
      </c>
      <c r="K26" s="26">
        <f t="shared" si="8"/>
        <v>451.01622624014834</v>
      </c>
      <c r="L26" s="26">
        <f t="shared" si="9"/>
        <v>475.68653214453309</v>
      </c>
    </row>
    <row r="27" spans="2:12" ht="18.75" thickTop="1" thickBot="1">
      <c r="B27" s="16" t="s">
        <v>10</v>
      </c>
      <c r="C27" s="22">
        <f t="shared" si="0"/>
        <v>87.330239752513535</v>
      </c>
      <c r="D27" s="22">
        <f t="shared" si="1"/>
        <v>82.19394879751745</v>
      </c>
      <c r="E27" s="23">
        <f t="shared" si="2"/>
        <v>90.22290076335878</v>
      </c>
      <c r="F27" s="23">
        <f t="shared" si="3"/>
        <v>104.99179716629381</v>
      </c>
      <c r="G27" s="24">
        <f t="shared" si="4"/>
        <v>168.3089430894309</v>
      </c>
      <c r="H27" s="24">
        <f t="shared" si="5"/>
        <v>146.01052631578946</v>
      </c>
      <c r="I27" s="25">
        <f t="shared" si="6"/>
        <v>299.10849349039057</v>
      </c>
      <c r="J27" s="25">
        <f t="shared" si="7"/>
        <v>277.62467783505156</v>
      </c>
      <c r="K27" s="26">
        <f t="shared" si="8"/>
        <v>198.97774687065368</v>
      </c>
      <c r="L27" s="26">
        <f t="shared" si="9"/>
        <v>200.23557015485687</v>
      </c>
    </row>
    <row r="28" spans="2:12" ht="18.75" thickTop="1" thickBot="1">
      <c r="B28" s="16" t="s">
        <v>11</v>
      </c>
      <c r="C28" s="22">
        <f t="shared" si="0"/>
        <v>24.37122969837587</v>
      </c>
      <c r="D28" s="22">
        <f t="shared" si="1"/>
        <v>20.294802172226532</v>
      </c>
      <c r="E28" s="23">
        <f t="shared" si="2"/>
        <v>21.288549618320612</v>
      </c>
      <c r="F28" s="23">
        <f t="shared" si="3"/>
        <v>12.47427293064877</v>
      </c>
      <c r="G28" s="24">
        <f t="shared" si="4"/>
        <v>19.381029810298102</v>
      </c>
      <c r="H28" s="24">
        <f t="shared" si="5"/>
        <v>28.589473684210525</v>
      </c>
      <c r="I28" s="25">
        <f t="shared" si="6"/>
        <v>70.260384376937381</v>
      </c>
      <c r="J28" s="25">
        <f t="shared" si="7"/>
        <v>67.151095360824741</v>
      </c>
      <c r="K28" s="26">
        <f t="shared" si="8"/>
        <v>49.999536393138619</v>
      </c>
      <c r="L28" s="26">
        <f t="shared" si="9"/>
        <v>49.804786485218209</v>
      </c>
    </row>
    <row r="29" spans="2:12" ht="18.75" thickTop="1" thickBot="1">
      <c r="B29" s="16" t="s">
        <v>12</v>
      </c>
      <c r="C29" s="22">
        <f t="shared" si="0"/>
        <v>0</v>
      </c>
      <c r="D29" s="22">
        <f t="shared" si="1"/>
        <v>3.0442203258339799</v>
      </c>
      <c r="E29" s="23">
        <f t="shared" si="2"/>
        <v>1.0137404580152671</v>
      </c>
      <c r="F29" s="23">
        <f t="shared" si="3"/>
        <v>2.0790454884414618</v>
      </c>
      <c r="G29" s="24">
        <f t="shared" si="4"/>
        <v>1.0200542005420055</v>
      </c>
      <c r="H29" s="24">
        <f t="shared" si="5"/>
        <v>2.0421052631578949</v>
      </c>
      <c r="I29" s="25">
        <f t="shared" si="6"/>
        <v>2.0074395536267824</v>
      </c>
      <c r="J29" s="25">
        <f t="shared" si="7"/>
        <v>3.0067654639175259</v>
      </c>
      <c r="K29" s="26">
        <f t="shared" si="8"/>
        <v>6.1223922114047289</v>
      </c>
      <c r="L29" s="26">
        <f t="shared" si="9"/>
        <v>1.0164242139840451</v>
      </c>
    </row>
    <row r="30" spans="2:12" ht="18.75" thickTop="1" thickBot="1">
      <c r="B30" s="16" t="s">
        <v>13</v>
      </c>
      <c r="C30" s="22">
        <f t="shared" si="0"/>
        <v>0</v>
      </c>
      <c r="D30" s="22">
        <f t="shared" si="1"/>
        <v>0</v>
      </c>
      <c r="E30" s="23">
        <f t="shared" si="2"/>
        <v>0</v>
      </c>
      <c r="F30" s="23">
        <f t="shared" si="3"/>
        <v>0</v>
      </c>
      <c r="G30" s="24">
        <f t="shared" si="4"/>
        <v>0</v>
      </c>
      <c r="H30" s="24">
        <f t="shared" si="5"/>
        <v>0</v>
      </c>
      <c r="I30" s="25">
        <f t="shared" si="6"/>
        <v>1.0037197768133912</v>
      </c>
      <c r="J30" s="25">
        <f t="shared" si="7"/>
        <v>2.0045103092783507</v>
      </c>
      <c r="K30" s="26">
        <v>0</v>
      </c>
      <c r="L30" s="26">
        <v>0</v>
      </c>
    </row>
    <row r="31" spans="2:12" ht="15.75" thickTop="1"/>
    <row r="33" spans="2:6" ht="15.75" thickBot="1"/>
    <row r="34" spans="2:6" ht="18.75" thickBot="1">
      <c r="B34" s="143" t="s">
        <v>16</v>
      </c>
      <c r="C34" s="1"/>
      <c r="D34" s="1"/>
      <c r="E34" s="1"/>
      <c r="F34" s="1"/>
    </row>
    <row r="35" spans="2:6" ht="20.25" thickBot="1">
      <c r="B35" s="15"/>
      <c r="C35" s="165">
        <v>2010</v>
      </c>
      <c r="D35" s="166"/>
      <c r="E35" s="151">
        <v>2020</v>
      </c>
      <c r="F35" s="152"/>
    </row>
    <row r="36" spans="2:6" ht="18.75" thickTop="1" thickBot="1">
      <c r="B36" s="16" t="s">
        <v>2</v>
      </c>
      <c r="C36" s="18" t="s">
        <v>3</v>
      </c>
      <c r="D36" s="18" t="s">
        <v>4</v>
      </c>
      <c r="E36" s="21" t="s">
        <v>3</v>
      </c>
      <c r="F36" s="21" t="s">
        <v>4</v>
      </c>
    </row>
    <row r="37" spans="2:6" ht="18.75" thickTop="1" thickBot="1">
      <c r="B37" s="16" t="s">
        <v>5</v>
      </c>
      <c r="C37" s="27">
        <f>(C22+E22+G22)/3</f>
        <v>3.0492625626562671</v>
      </c>
      <c r="D37" s="27">
        <f>(D22+F22+H22)/3</f>
        <v>7.1674752517558771</v>
      </c>
      <c r="E37" s="28">
        <f>(I22+K22)/2</f>
        <v>3.5463770690216627</v>
      </c>
      <c r="F37" s="28">
        <f>(J22+L22)/2</f>
        <v>4.5243172552211588</v>
      </c>
    </row>
    <row r="38" spans="2:6" ht="18.75" thickTop="1" thickBot="1">
      <c r="B38" s="16" t="s">
        <v>6</v>
      </c>
      <c r="C38" s="27">
        <f>(C23+E23+G23)/3</f>
        <v>302.97527430298715</v>
      </c>
      <c r="D38" s="27">
        <f t="shared" ref="D38:D44" si="10">(D23+F23+H23)/3</f>
        <v>290.46194496787808</v>
      </c>
      <c r="E38" s="28">
        <f t="shared" ref="E38:F44" si="11">(I23+K23)/2</f>
        <v>372.49082113024076</v>
      </c>
      <c r="F38" s="28">
        <f t="shared" si="11"/>
        <v>334.41357581322836</v>
      </c>
    </row>
    <row r="39" spans="2:6" ht="18.75" thickTop="1" thickBot="1">
      <c r="B39" s="16" t="s">
        <v>7</v>
      </c>
      <c r="C39" s="27">
        <f t="shared" ref="C39:C44" si="12">(C24+E24+G24)/3</f>
        <v>465.64386741952825</v>
      </c>
      <c r="D39" s="27">
        <f t="shared" si="10"/>
        <v>445.17450120140825</v>
      </c>
      <c r="E39" s="28">
        <f t="shared" si="11"/>
        <v>700.23956489360762</v>
      </c>
      <c r="F39" s="28">
        <f t="shared" si="11"/>
        <v>699.22256865998736</v>
      </c>
    </row>
    <row r="40" spans="2:6" ht="18.75" thickTop="1" thickBot="1">
      <c r="B40" s="16" t="s">
        <v>8</v>
      </c>
      <c r="C40" s="27">
        <f t="shared" si="12"/>
        <v>390.56089521274947</v>
      </c>
      <c r="D40" s="27">
        <f t="shared" si="10"/>
        <v>373.07772393381396</v>
      </c>
      <c r="E40" s="28">
        <f t="shared" si="11"/>
        <v>773.75146087896758</v>
      </c>
      <c r="F40" s="28">
        <f t="shared" si="11"/>
        <v>740.8515802258753</v>
      </c>
    </row>
    <row r="41" spans="2:6" ht="18.75" thickTop="1" thickBot="1">
      <c r="B41" s="16" t="s">
        <v>9</v>
      </c>
      <c r="C41" s="27">
        <f t="shared" si="12"/>
        <v>207.79180470512722</v>
      </c>
      <c r="D41" s="27">
        <f t="shared" si="10"/>
        <v>232.87829059710387</v>
      </c>
      <c r="E41" s="28">
        <f t="shared" si="11"/>
        <v>555.73191969167988</v>
      </c>
      <c r="F41" s="28">
        <f t="shared" si="11"/>
        <v>559.0660431341222</v>
      </c>
    </row>
    <row r="42" spans="2:6" ht="18.75" thickTop="1" thickBot="1">
      <c r="B42" s="16" t="s">
        <v>10</v>
      </c>
      <c r="C42" s="27">
        <f t="shared" si="12"/>
        <v>115.28736120176774</v>
      </c>
      <c r="D42" s="27">
        <f t="shared" si="10"/>
        <v>111.06542409320025</v>
      </c>
      <c r="E42" s="28">
        <f t="shared" si="11"/>
        <v>249.04312018052212</v>
      </c>
      <c r="F42" s="28">
        <f t="shared" si="11"/>
        <v>238.93012399495422</v>
      </c>
    </row>
    <row r="43" spans="2:6" ht="18.75" thickTop="1" thickBot="1">
      <c r="B43" s="16" t="s">
        <v>11</v>
      </c>
      <c r="C43" s="27">
        <f t="shared" si="12"/>
        <v>21.680269708998196</v>
      </c>
      <c r="D43" s="27">
        <f t="shared" si="10"/>
        <v>20.452849595695277</v>
      </c>
      <c r="E43" s="28">
        <f t="shared" si="11"/>
        <v>60.129960385038004</v>
      </c>
      <c r="F43" s="28">
        <f t="shared" si="11"/>
        <v>58.477940923021478</v>
      </c>
    </row>
    <row r="44" spans="2:6" ht="18.75" thickTop="1" thickBot="1">
      <c r="B44" s="16" t="s">
        <v>12</v>
      </c>
      <c r="C44" s="27">
        <f t="shared" si="12"/>
        <v>0.67793155285242424</v>
      </c>
      <c r="D44" s="27">
        <f t="shared" si="10"/>
        <v>2.3884570258111122</v>
      </c>
      <c r="E44" s="28">
        <f t="shared" si="11"/>
        <v>4.0649158825157556</v>
      </c>
      <c r="F44" s="28">
        <f t="shared" si="11"/>
        <v>2.0115948389507854</v>
      </c>
    </row>
    <row r="45" spans="2:6" ht="18.75" thickTop="1" thickBot="1">
      <c r="B45" s="16" t="s">
        <v>13</v>
      </c>
      <c r="C45" s="27">
        <f>(C30+E30+G30)/3</f>
        <v>0</v>
      </c>
      <c r="D45" s="27">
        <f>(D30+F30+H30)/3</f>
        <v>0</v>
      </c>
      <c r="E45" s="28">
        <v>1</v>
      </c>
      <c r="F45" s="28">
        <v>1</v>
      </c>
    </row>
    <row r="46" spans="2:6" ht="15.75" thickTop="1"/>
    <row r="48" spans="2:6" ht="15.75" thickBot="1"/>
    <row r="49" spans="2:6" ht="18.75" thickBot="1">
      <c r="B49" s="142" t="s">
        <v>17</v>
      </c>
      <c r="C49" s="97"/>
      <c r="D49" s="97"/>
      <c r="E49" s="97"/>
      <c r="F49" s="97"/>
    </row>
    <row r="50" spans="2:6" ht="20.25" thickBot="1">
      <c r="B50" s="98"/>
      <c r="C50" s="145">
        <v>2010</v>
      </c>
      <c r="D50" s="146"/>
      <c r="E50" s="147">
        <v>2020</v>
      </c>
      <c r="F50" s="148"/>
    </row>
    <row r="51" spans="2:6" ht="21" thickTop="1" thickBot="1">
      <c r="B51" s="99" t="s">
        <v>2</v>
      </c>
      <c r="C51" s="100" t="s">
        <v>3</v>
      </c>
      <c r="D51" s="100" t="s">
        <v>4</v>
      </c>
      <c r="E51" s="101" t="s">
        <v>3</v>
      </c>
      <c r="F51" s="101" t="s">
        <v>4</v>
      </c>
    </row>
    <row r="52" spans="2:6" ht="21" thickTop="1" thickBot="1">
      <c r="B52" s="99" t="s">
        <v>6</v>
      </c>
      <c r="C52" s="102">
        <v>306.02453686564343</v>
      </c>
      <c r="D52" s="102">
        <v>297.62942021963397</v>
      </c>
      <c r="E52" s="103">
        <v>376.03719819926243</v>
      </c>
      <c r="F52" s="103">
        <v>338.93789306844951</v>
      </c>
    </row>
    <row r="53" spans="2:6" ht="21" thickTop="1" thickBot="1">
      <c r="B53" s="99" t="s">
        <v>7</v>
      </c>
      <c r="C53" s="102">
        <v>465.64386741952825</v>
      </c>
      <c r="D53" s="102">
        <v>445.17450120140825</v>
      </c>
      <c r="E53" s="103">
        <v>700.23956489360762</v>
      </c>
      <c r="F53" s="103">
        <v>699.22256865998736</v>
      </c>
    </row>
    <row r="54" spans="2:6" ht="21" thickTop="1" thickBot="1">
      <c r="B54" s="99" t="s">
        <v>8</v>
      </c>
      <c r="C54" s="102">
        <v>390.56089521274947</v>
      </c>
      <c r="D54" s="102">
        <v>373.07772393381396</v>
      </c>
      <c r="E54" s="103">
        <v>773.75146087896758</v>
      </c>
      <c r="F54" s="103">
        <v>740.8515802258753</v>
      </c>
    </row>
    <row r="55" spans="2:6" ht="21" thickTop="1" thickBot="1">
      <c r="B55" s="99" t="s">
        <v>9</v>
      </c>
      <c r="C55" s="102">
        <v>207.79180470512722</v>
      </c>
      <c r="D55" s="102">
        <v>232.87829059710387</v>
      </c>
      <c r="E55" s="103">
        <v>555.73191969167988</v>
      </c>
      <c r="F55" s="103">
        <v>559.0660431341222</v>
      </c>
    </row>
    <row r="56" spans="2:6" ht="21" thickTop="1" thickBot="1">
      <c r="B56" s="99" t="s">
        <v>10</v>
      </c>
      <c r="C56" s="102">
        <v>115.28736120176774</v>
      </c>
      <c r="D56" s="102">
        <v>111.06542409320025</v>
      </c>
      <c r="E56" s="103">
        <v>249.04312018052212</v>
      </c>
      <c r="F56" s="103">
        <v>238.93012399495422</v>
      </c>
    </row>
    <row r="57" spans="2:6" ht="21" thickTop="1" thickBot="1">
      <c r="B57" s="99" t="s">
        <v>11</v>
      </c>
      <c r="C57" s="102">
        <v>21.680269708998196</v>
      </c>
      <c r="D57" s="102">
        <v>20.452849595695277</v>
      </c>
      <c r="E57" s="103">
        <v>60.129960385038004</v>
      </c>
      <c r="F57" s="103">
        <v>58.477940923021478</v>
      </c>
    </row>
    <row r="58" spans="2:6" ht="21" thickTop="1" thickBot="1">
      <c r="B58" s="99" t="s">
        <v>12</v>
      </c>
      <c r="C58" s="102">
        <v>0.67793155285242424</v>
      </c>
      <c r="D58" s="102">
        <v>2.3884570258111122</v>
      </c>
      <c r="E58" s="102">
        <v>4.566775770922451</v>
      </c>
      <c r="F58" s="102">
        <v>3.013849993589961</v>
      </c>
    </row>
    <row r="59" spans="2:6" ht="21" thickTop="1" thickBot="1">
      <c r="B59" s="104" t="s">
        <v>18</v>
      </c>
      <c r="C59" s="105">
        <v>1507.6666666666665</v>
      </c>
      <c r="D59" s="105">
        <v>1482.6666666666665</v>
      </c>
      <c r="E59" s="105">
        <v>2719.5000000000005</v>
      </c>
      <c r="F59" s="105">
        <v>2638.5</v>
      </c>
    </row>
    <row r="60" spans="2:6">
      <c r="B60" s="106"/>
      <c r="C60" s="149">
        <f>C59+D59</f>
        <v>2990.333333333333</v>
      </c>
      <c r="D60" s="150"/>
      <c r="E60" s="149">
        <f>E59+F59</f>
        <v>5358</v>
      </c>
      <c r="F60" s="150"/>
    </row>
  </sheetData>
  <mergeCells count="17">
    <mergeCell ref="K20:L20"/>
    <mergeCell ref="C4:D4"/>
    <mergeCell ref="E4:F4"/>
    <mergeCell ref="G4:H4"/>
    <mergeCell ref="I4:J4"/>
    <mergeCell ref="K4:L4"/>
    <mergeCell ref="C20:D20"/>
    <mergeCell ref="E20:F20"/>
    <mergeCell ref="G20:H20"/>
    <mergeCell ref="I20:J20"/>
    <mergeCell ref="A1:B1"/>
    <mergeCell ref="C50:D50"/>
    <mergeCell ref="E50:F50"/>
    <mergeCell ref="C60:D60"/>
    <mergeCell ref="E60:F60"/>
    <mergeCell ref="C35:D35"/>
    <mergeCell ref="E35:F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zoomScale="90" zoomScaleNormal="90" workbookViewId="0">
      <selection activeCell="J14" sqref="J14"/>
    </sheetView>
  </sheetViews>
  <sheetFormatPr baseColWidth="10" defaultRowHeight="15"/>
  <sheetData>
    <row r="2" spans="1:8" ht="15.75">
      <c r="A2" s="171" t="s">
        <v>19</v>
      </c>
      <c r="B2" s="171"/>
      <c r="C2" s="171"/>
      <c r="D2" s="171"/>
      <c r="E2" s="171"/>
      <c r="F2" s="171"/>
      <c r="G2" s="171"/>
      <c r="H2" s="171"/>
    </row>
    <row r="3" spans="1:8" ht="15.75">
      <c r="A3" s="29"/>
      <c r="B3" s="29"/>
      <c r="C3" s="29"/>
      <c r="D3" s="29"/>
      <c r="E3" s="29"/>
      <c r="F3" s="29"/>
      <c r="G3" s="29"/>
      <c r="H3" s="29"/>
    </row>
    <row r="4" spans="1:8" ht="18">
      <c r="A4" s="172" t="s">
        <v>20</v>
      </c>
      <c r="B4" s="172" t="s">
        <v>21</v>
      </c>
      <c r="C4" s="173">
        <v>2010</v>
      </c>
      <c r="D4" s="173"/>
      <c r="E4" s="173"/>
      <c r="F4" s="173">
        <v>2020</v>
      </c>
      <c r="G4" s="173"/>
      <c r="H4" s="173"/>
    </row>
    <row r="5" spans="1:8" ht="18">
      <c r="A5" s="172"/>
      <c r="B5" s="172"/>
      <c r="C5" s="125" t="s">
        <v>22</v>
      </c>
      <c r="D5" s="126" t="s">
        <v>3</v>
      </c>
      <c r="E5" s="127" t="s">
        <v>4</v>
      </c>
      <c r="F5" s="125" t="s">
        <v>22</v>
      </c>
      <c r="G5" s="126" t="s">
        <v>3</v>
      </c>
      <c r="H5" s="127" t="s">
        <v>4</v>
      </c>
    </row>
    <row r="6" spans="1:8" ht="15.75">
      <c r="A6" s="30">
        <v>0</v>
      </c>
      <c r="B6" s="30">
        <v>0</v>
      </c>
      <c r="C6" s="31">
        <v>32.491366893575822</v>
      </c>
      <c r="D6" s="31">
        <v>19.421286031042129</v>
      </c>
      <c r="E6" s="31">
        <v>13.070080862533693</v>
      </c>
      <c r="F6" s="31">
        <v>40.068376068376068</v>
      </c>
      <c r="G6" s="31">
        <v>20.034188034188034</v>
      </c>
      <c r="H6" s="31">
        <v>20.034188034188034</v>
      </c>
    </row>
    <row r="7" spans="1:8" ht="15.75">
      <c r="A7" s="30">
        <v>1</v>
      </c>
      <c r="B7" s="30">
        <v>4</v>
      </c>
      <c r="C7" s="31">
        <v>6.116255580590602</v>
      </c>
      <c r="D7" s="31">
        <v>5.1108647450110869</v>
      </c>
      <c r="E7" s="31">
        <v>1.0053908355795149</v>
      </c>
      <c r="F7" s="31">
        <v>3.0051282051282051</v>
      </c>
      <c r="G7" s="31">
        <v>2.0034188034188034</v>
      </c>
      <c r="H7" s="31">
        <v>1.0017094017094017</v>
      </c>
    </row>
    <row r="8" spans="1:8" ht="15.75">
      <c r="A8" s="30">
        <v>5</v>
      </c>
      <c r="B8" s="30">
        <v>9</v>
      </c>
      <c r="C8" s="31">
        <v>5.0773005181656821</v>
      </c>
      <c r="D8" s="31">
        <v>3.0665188470066518</v>
      </c>
      <c r="E8" s="31">
        <v>2.0107816711590298</v>
      </c>
      <c r="F8" s="31">
        <v>6.0102564102564102</v>
      </c>
      <c r="G8" s="31">
        <v>5.0085470085470085</v>
      </c>
      <c r="H8" s="31">
        <v>1.0017094017094017</v>
      </c>
    </row>
    <row r="9" spans="1:8" ht="15.75">
      <c r="A9" s="30">
        <v>10</v>
      </c>
      <c r="B9" s="30">
        <v>14</v>
      </c>
      <c r="C9" s="31">
        <v>5.0437362913202772</v>
      </c>
      <c r="D9" s="31">
        <v>1.0221729490022173</v>
      </c>
      <c r="E9" s="31">
        <v>4.0215633423180597</v>
      </c>
      <c r="F9" s="31">
        <v>9.0153846153846153</v>
      </c>
      <c r="G9" s="31">
        <v>3.0051282051282051</v>
      </c>
      <c r="H9" s="31">
        <v>6.0102564102564102</v>
      </c>
    </row>
    <row r="10" spans="1:8" ht="15.75">
      <c r="A10" s="30">
        <v>15</v>
      </c>
      <c r="B10" s="30">
        <v>19</v>
      </c>
      <c r="C10" s="31">
        <v>16.304420843767371</v>
      </c>
      <c r="D10" s="31">
        <v>13.288248337028826</v>
      </c>
      <c r="E10" s="31">
        <v>3.0161725067385445</v>
      </c>
      <c r="F10" s="31">
        <v>29.049572649572649</v>
      </c>
      <c r="G10" s="31">
        <v>26.044444444444444</v>
      </c>
      <c r="H10" s="31">
        <v>3.0051282051282051</v>
      </c>
    </row>
    <row r="11" spans="1:8" ht="15.75">
      <c r="A11" s="30">
        <v>20</v>
      </c>
      <c r="B11" s="30">
        <v>24</v>
      </c>
      <c r="C11" s="31">
        <v>27.430848488832844</v>
      </c>
      <c r="D11" s="31">
        <v>17.376940133037696</v>
      </c>
      <c r="E11" s="31">
        <v>10.05390835579515</v>
      </c>
      <c r="F11" s="31">
        <v>58.099145299145306</v>
      </c>
      <c r="G11" s="31">
        <v>45.07692307692308</v>
      </c>
      <c r="H11" s="31">
        <v>13.022222222222222</v>
      </c>
    </row>
    <row r="12" spans="1:8" ht="15.75">
      <c r="A12" s="30">
        <v>25</v>
      </c>
      <c r="B12" s="30">
        <v>29</v>
      </c>
      <c r="C12" s="31">
        <v>28.520149891525868</v>
      </c>
      <c r="D12" s="31">
        <v>22.487804878048781</v>
      </c>
      <c r="E12" s="31">
        <v>6.0323450134770891</v>
      </c>
      <c r="F12" s="31">
        <v>64.109401709401709</v>
      </c>
      <c r="G12" s="31">
        <v>56.095726495726495</v>
      </c>
      <c r="H12" s="31">
        <v>8.0136752136752136</v>
      </c>
    </row>
    <row r="13" spans="1:8" ht="15.75">
      <c r="A13" s="30">
        <v>30</v>
      </c>
      <c r="B13" s="30">
        <v>34</v>
      </c>
      <c r="C13" s="31">
        <v>22.420676424357971</v>
      </c>
      <c r="D13" s="31">
        <v>18.399113082039911</v>
      </c>
      <c r="E13" s="31">
        <v>4.0215633423180597</v>
      </c>
      <c r="F13" s="31">
        <v>83.141880341880352</v>
      </c>
      <c r="G13" s="31">
        <v>66.11282051282052</v>
      </c>
      <c r="H13" s="31">
        <v>17.029059829059829</v>
      </c>
    </row>
    <row r="14" spans="1:8" ht="15.75">
      <c r="A14" s="30">
        <v>35</v>
      </c>
      <c r="B14" s="30">
        <v>39</v>
      </c>
      <c r="C14" s="31">
        <v>28.536932004948575</v>
      </c>
      <c r="D14" s="31">
        <v>23.509977827050999</v>
      </c>
      <c r="E14" s="31">
        <v>5.0269541778975748</v>
      </c>
      <c r="F14" s="31">
        <v>104.17777777777778</v>
      </c>
      <c r="G14" s="31">
        <v>82.140170940170947</v>
      </c>
      <c r="H14" s="31">
        <v>22.037606837606837</v>
      </c>
    </row>
    <row r="15" spans="1:8" ht="15.75">
      <c r="A15" s="30">
        <v>40</v>
      </c>
      <c r="B15" s="30">
        <v>44</v>
      </c>
      <c r="C15" s="31">
        <v>30.463803108994089</v>
      </c>
      <c r="D15" s="31">
        <v>18.399113082039911</v>
      </c>
      <c r="E15" s="31">
        <v>12.064690026954178</v>
      </c>
      <c r="F15" s="31">
        <v>144.24615384615385</v>
      </c>
      <c r="G15" s="31">
        <v>104.17777777777778</v>
      </c>
      <c r="H15" s="31">
        <v>40.068376068376068</v>
      </c>
    </row>
    <row r="16" spans="1:8" ht="15.75">
      <c r="A16" s="30">
        <v>45</v>
      </c>
      <c r="B16" s="30">
        <v>49</v>
      </c>
      <c r="C16" s="31">
        <v>42.763442723866106</v>
      </c>
      <c r="D16" s="31">
        <v>32.709534368070955</v>
      </c>
      <c r="E16" s="31">
        <v>10.05390835579515</v>
      </c>
      <c r="F16" s="31">
        <v>194.33162393162394</v>
      </c>
      <c r="G16" s="31">
        <v>133.22735042735042</v>
      </c>
      <c r="H16" s="31">
        <v>61.104273504273507</v>
      </c>
    </row>
    <row r="17" spans="1:8" ht="15.75">
      <c r="A17" s="30">
        <v>50</v>
      </c>
      <c r="B17" s="30">
        <v>54</v>
      </c>
      <c r="C17" s="31">
        <v>44.690313827911623</v>
      </c>
      <c r="D17" s="31">
        <v>27.59866962305987</v>
      </c>
      <c r="E17" s="31">
        <v>17.091644204851754</v>
      </c>
      <c r="F17" s="31">
        <v>254.43418803418803</v>
      </c>
      <c r="G17" s="31">
        <v>161.27521367521368</v>
      </c>
      <c r="H17" s="31">
        <v>93.158974358974362</v>
      </c>
    </row>
    <row r="18" spans="1:8" ht="15.75">
      <c r="A18" s="30">
        <v>55</v>
      </c>
      <c r="B18" s="30">
        <v>59</v>
      </c>
      <c r="C18" s="31">
        <v>51.761613903813632</v>
      </c>
      <c r="D18" s="31">
        <v>29.643015521064303</v>
      </c>
      <c r="E18" s="31">
        <v>22.11859838274933</v>
      </c>
      <c r="F18" s="31">
        <v>399.68205128205125</v>
      </c>
      <c r="G18" s="31">
        <v>256.43760683760684</v>
      </c>
      <c r="H18" s="31">
        <v>143.24444444444444</v>
      </c>
    </row>
    <row r="19" spans="1:8" ht="15.75">
      <c r="A19" s="30">
        <v>60</v>
      </c>
      <c r="B19" s="30">
        <v>64</v>
      </c>
      <c r="C19" s="31">
        <v>57.894651597826936</v>
      </c>
      <c r="D19" s="31">
        <v>35.77605321507761</v>
      </c>
      <c r="E19" s="31">
        <v>22.11859838274933</v>
      </c>
      <c r="F19" s="31">
        <v>458.78290598290596</v>
      </c>
      <c r="G19" s="31">
        <v>274.46837606837607</v>
      </c>
      <c r="H19" s="31">
        <v>184.31452991452991</v>
      </c>
    </row>
    <row r="20" spans="1:8" ht="15.75">
      <c r="A20" s="30">
        <v>65</v>
      </c>
      <c r="B20" s="30">
        <v>69</v>
      </c>
      <c r="C20" s="31">
        <v>63.910214497881327</v>
      </c>
      <c r="D20" s="31">
        <v>34.753880266075392</v>
      </c>
      <c r="E20" s="31">
        <v>29.156334231805932</v>
      </c>
      <c r="F20" s="31">
        <v>483.825641025641</v>
      </c>
      <c r="G20" s="31">
        <v>295.5042735042735</v>
      </c>
      <c r="H20" s="31">
        <v>188.32136752136751</v>
      </c>
    </row>
    <row r="21" spans="1:8" ht="15.75">
      <c r="A21" s="30">
        <v>70</v>
      </c>
      <c r="B21" s="30">
        <v>74</v>
      </c>
      <c r="C21" s="31">
        <v>69.959341624781118</v>
      </c>
      <c r="D21" s="31">
        <v>35.77605321507761</v>
      </c>
      <c r="E21" s="31">
        <v>34.183288409703508</v>
      </c>
      <c r="F21" s="31">
        <v>474.81025641025644</v>
      </c>
      <c r="G21" s="31">
        <v>281.48034188034188</v>
      </c>
      <c r="H21" s="31">
        <v>193.32991452991453</v>
      </c>
    </row>
    <row r="22" spans="1:8" ht="15.75">
      <c r="A22" s="30">
        <v>75</v>
      </c>
      <c r="B22" s="30">
        <v>79</v>
      </c>
      <c r="C22" s="31">
        <v>92.12828634779855</v>
      </c>
      <c r="D22" s="31">
        <v>38.842572062084258</v>
      </c>
      <c r="E22" s="31">
        <v>53.285714285714292</v>
      </c>
      <c r="F22" s="31">
        <v>375.64102564102564</v>
      </c>
      <c r="G22" s="31">
        <v>200.34188034188034</v>
      </c>
      <c r="H22" s="31">
        <v>175.29914529914529</v>
      </c>
    </row>
    <row r="23" spans="1:8" ht="15.75">
      <c r="A23" s="30">
        <v>80</v>
      </c>
      <c r="B23" s="30">
        <v>84</v>
      </c>
      <c r="C23" s="31">
        <v>66.758565870392843</v>
      </c>
      <c r="D23" s="31">
        <v>24.532150776053214</v>
      </c>
      <c r="E23" s="31">
        <v>42.226415094339629</v>
      </c>
      <c r="F23" s="31">
        <v>296.50598290598293</v>
      </c>
      <c r="G23" s="31">
        <v>143.24444444444444</v>
      </c>
      <c r="H23" s="31">
        <v>153.26153846153846</v>
      </c>
    </row>
    <row r="24" spans="1:8" ht="15.75">
      <c r="A24" s="30">
        <v>85</v>
      </c>
      <c r="B24" s="30">
        <v>100</v>
      </c>
      <c r="C24" s="31">
        <v>141.72807955964882</v>
      </c>
      <c r="D24" s="31">
        <v>59.286031042128606</v>
      </c>
      <c r="E24" s="31">
        <v>82.44204851752022</v>
      </c>
      <c r="F24" s="31">
        <v>449.76752136752134</v>
      </c>
      <c r="G24" s="31">
        <v>192.32820512820513</v>
      </c>
      <c r="H24" s="31">
        <v>257.43931623931621</v>
      </c>
    </row>
    <row r="25" spans="1:8" ht="16.5" thickBot="1">
      <c r="A25" s="32"/>
      <c r="B25" s="32"/>
      <c r="C25" s="32"/>
      <c r="D25" s="32"/>
      <c r="E25" s="32"/>
      <c r="F25" s="32"/>
      <c r="G25" s="32"/>
      <c r="H25" s="32"/>
    </row>
  </sheetData>
  <mergeCells count="5">
    <mergeCell ref="A2:H2"/>
    <mergeCell ref="A4:A5"/>
    <mergeCell ref="B4:B5"/>
    <mergeCell ref="C4:E4"/>
    <mergeCell ref="F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4"/>
  <sheetViews>
    <sheetView topLeftCell="B1" workbookViewId="0">
      <selection activeCell="L7" sqref="L7"/>
    </sheetView>
  </sheetViews>
  <sheetFormatPr baseColWidth="10" defaultRowHeight="15"/>
  <cols>
    <col min="4" max="4" width="15.140625" customWidth="1"/>
    <col min="5" max="6" width="14.5703125" bestFit="1" customWidth="1"/>
    <col min="8" max="10" width="13.5703125" bestFit="1" customWidth="1"/>
    <col min="12" max="14" width="13.5703125" bestFit="1" customWidth="1"/>
  </cols>
  <sheetData>
    <row r="3" spans="1:14">
      <c r="A3" s="175" t="s">
        <v>23</v>
      </c>
      <c r="B3" s="175"/>
      <c r="D3" s="174" t="s">
        <v>27</v>
      </c>
      <c r="E3" s="174"/>
      <c r="F3" s="174"/>
      <c r="H3" s="174" t="s">
        <v>30</v>
      </c>
      <c r="I3" s="174"/>
      <c r="J3" s="174"/>
      <c r="L3" s="174" t="s">
        <v>31</v>
      </c>
      <c r="M3" s="174"/>
      <c r="N3" s="174"/>
    </row>
    <row r="4" spans="1:14">
      <c r="A4" s="109" t="s">
        <v>20</v>
      </c>
      <c r="B4" s="109" t="s">
        <v>24</v>
      </c>
      <c r="C4" s="110"/>
      <c r="D4" s="107" t="s">
        <v>28</v>
      </c>
      <c r="E4" s="108" t="s">
        <v>29</v>
      </c>
      <c r="F4" s="109" t="s">
        <v>22</v>
      </c>
      <c r="G4" s="110"/>
      <c r="H4" s="107" t="s">
        <v>28</v>
      </c>
      <c r="I4" s="108" t="s">
        <v>29</v>
      </c>
      <c r="J4" s="109" t="s">
        <v>22</v>
      </c>
      <c r="K4" s="110"/>
      <c r="L4" s="107" t="s">
        <v>28</v>
      </c>
      <c r="M4" s="108" t="s">
        <v>29</v>
      </c>
      <c r="N4" s="109" t="s">
        <v>22</v>
      </c>
    </row>
    <row r="5" spans="1:14">
      <c r="A5" s="110">
        <v>0</v>
      </c>
      <c r="B5" s="110">
        <v>0</v>
      </c>
      <c r="D5" s="111">
        <v>3907.1772915946099</v>
      </c>
      <c r="E5" s="112">
        <v>3864.5627041459138</v>
      </c>
      <c r="F5" s="112">
        <v>7771.7399957405214</v>
      </c>
      <c r="G5" s="110"/>
      <c r="H5" s="113">
        <v>3489.4651678427285</v>
      </c>
      <c r="I5" s="113">
        <v>3434.9374968289617</v>
      </c>
      <c r="J5" s="113">
        <v>6924.4026646716902</v>
      </c>
      <c r="K5" s="110"/>
      <c r="L5" s="113">
        <v>3116.2172346680632</v>
      </c>
      <c r="M5" s="113">
        <v>3052.8768821105159</v>
      </c>
      <c r="N5" s="113">
        <v>6169.0941167785786</v>
      </c>
    </row>
    <row r="6" spans="1:14">
      <c r="A6" s="110">
        <v>1</v>
      </c>
      <c r="B6" s="110">
        <v>4</v>
      </c>
      <c r="D6" s="112">
        <v>18182.400551759696</v>
      </c>
      <c r="E6" s="112">
        <v>17457.318792316153</v>
      </c>
      <c r="F6" s="112">
        <v>35639.719344075849</v>
      </c>
      <c r="G6" s="110"/>
      <c r="H6" s="113">
        <v>16463.472348085623</v>
      </c>
      <c r="I6" s="113">
        <v>15879.31161728862</v>
      </c>
      <c r="J6" s="113">
        <v>32342.783965374241</v>
      </c>
      <c r="K6" s="110"/>
      <c r="L6" s="113">
        <v>14906.23749653565</v>
      </c>
      <c r="M6" s="113">
        <v>14443.194734707715</v>
      </c>
      <c r="N6" s="113">
        <v>29349.432231243365</v>
      </c>
    </row>
    <row r="7" spans="1:14">
      <c r="A7" s="110">
        <v>5</v>
      </c>
      <c r="B7" s="110">
        <v>9</v>
      </c>
      <c r="D7" s="112">
        <v>23465.682304423815</v>
      </c>
      <c r="E7" s="112">
        <v>22393.196309981347</v>
      </c>
      <c r="F7" s="112">
        <v>45858.878614405163</v>
      </c>
      <c r="G7" s="110"/>
      <c r="H7" s="113">
        <v>21268.818848699771</v>
      </c>
      <c r="I7" s="113">
        <v>20519.664650892024</v>
      </c>
      <c r="J7" s="113">
        <v>41788.483499591792</v>
      </c>
      <c r="K7" s="110"/>
      <c r="L7" s="113">
        <v>19276.588615423214</v>
      </c>
      <c r="M7" s="113">
        <v>18801.982736958074</v>
      </c>
      <c r="N7" s="113">
        <v>38078.571352381288</v>
      </c>
    </row>
    <row r="8" spans="1:14">
      <c r="A8" s="110">
        <v>10</v>
      </c>
      <c r="B8" s="110">
        <v>14</v>
      </c>
      <c r="D8" s="112">
        <v>22922.623482507068</v>
      </c>
      <c r="E8" s="112">
        <v>22310.888876533452</v>
      </c>
      <c r="F8" s="112">
        <v>45233.51235904052</v>
      </c>
      <c r="G8" s="110"/>
      <c r="H8" s="113">
        <v>21792.127108788856</v>
      </c>
      <c r="I8" s="113">
        <v>21008.456117302449</v>
      </c>
      <c r="J8" s="113">
        <v>42800.583226091301</v>
      </c>
      <c r="K8" s="110"/>
      <c r="L8" s="113">
        <v>20716.810666497746</v>
      </c>
      <c r="M8" s="113">
        <v>19781.403266335408</v>
      </c>
      <c r="N8" s="113">
        <v>40498.213932833154</v>
      </c>
    </row>
    <row r="9" spans="1:14">
      <c r="A9" s="110">
        <v>15</v>
      </c>
      <c r="B9" s="110">
        <v>19</v>
      </c>
      <c r="D9" s="112">
        <v>23496.644453558081</v>
      </c>
      <c r="E9" s="112">
        <v>23208.308230709263</v>
      </c>
      <c r="F9" s="112">
        <v>46704.952684267344</v>
      </c>
      <c r="G9" s="110"/>
      <c r="H9" s="113">
        <v>22486.186995708969</v>
      </c>
      <c r="I9" s="113">
        <v>21864.278644487797</v>
      </c>
      <c r="J9" s="113">
        <v>44350.465640196766</v>
      </c>
      <c r="K9" s="110"/>
      <c r="L9" s="113">
        <v>21518.665569446599</v>
      </c>
      <c r="M9" s="113">
        <v>20597.41098638796</v>
      </c>
      <c r="N9" s="113">
        <v>42116.076555834559</v>
      </c>
    </row>
    <row r="10" spans="1:14">
      <c r="A10" s="110">
        <v>20</v>
      </c>
      <c r="B10" s="110">
        <v>24</v>
      </c>
      <c r="D10" s="112">
        <v>22924.811474886879</v>
      </c>
      <c r="E10" s="112">
        <v>23019.882440906371</v>
      </c>
      <c r="F10" s="112">
        <v>45944.69391579325</v>
      </c>
      <c r="G10" s="110"/>
      <c r="H10" s="113">
        <v>22242.66425596298</v>
      </c>
      <c r="I10" s="113">
        <v>22070.509030663423</v>
      </c>
      <c r="J10" s="113">
        <v>44313.173286626406</v>
      </c>
      <c r="K10" s="110"/>
      <c r="L10" s="113">
        <v>21580.457897704706</v>
      </c>
      <c r="M10" s="113">
        <v>21159.801111145924</v>
      </c>
      <c r="N10" s="113">
        <v>42740.259008850626</v>
      </c>
    </row>
    <row r="11" spans="1:14">
      <c r="A11" s="110">
        <v>25</v>
      </c>
      <c r="B11" s="110">
        <v>29</v>
      </c>
      <c r="D11" s="112">
        <v>20143.50376765725</v>
      </c>
      <c r="E11" s="112">
        <v>21174.039426968884</v>
      </c>
      <c r="F11" s="112">
        <v>41317.543194626138</v>
      </c>
      <c r="G11" s="110"/>
      <c r="H11" s="113">
        <v>20521.443183353469</v>
      </c>
      <c r="I11" s="113">
        <v>21228.893920187271</v>
      </c>
      <c r="J11" s="113">
        <v>41750.33710354074</v>
      </c>
      <c r="K11" s="110"/>
      <c r="L11" s="113">
        <v>20906.686456654719</v>
      </c>
      <c r="M11" s="113">
        <v>21283.920679737646</v>
      </c>
      <c r="N11" s="113">
        <v>42190.607136392369</v>
      </c>
    </row>
    <row r="12" spans="1:14">
      <c r="A12" s="110">
        <v>30</v>
      </c>
      <c r="B12" s="110">
        <v>34</v>
      </c>
      <c r="D12" s="112">
        <v>18231.488428576609</v>
      </c>
      <c r="E12" s="112">
        <v>20298.270443908823</v>
      </c>
      <c r="F12" s="112">
        <v>38529.758872485429</v>
      </c>
      <c r="G12" s="110"/>
      <c r="H12" s="113">
        <v>18886.359294595786</v>
      </c>
      <c r="I12" s="113">
        <v>20482.228236305418</v>
      </c>
      <c r="J12" s="113">
        <v>39368.587530901204</v>
      </c>
      <c r="K12" s="110"/>
      <c r="L12" s="113">
        <v>19565.13108791555</v>
      </c>
      <c r="M12" s="113">
        <v>20667.9553050508</v>
      </c>
      <c r="N12" s="113">
        <v>40233.086392966346</v>
      </c>
    </row>
    <row r="13" spans="1:14">
      <c r="A13" s="110">
        <v>35</v>
      </c>
      <c r="B13" s="110">
        <v>39</v>
      </c>
      <c r="D13" s="112">
        <v>17984.079446544551</v>
      </c>
      <c r="E13" s="112">
        <v>20433.987261411952</v>
      </c>
      <c r="F13" s="112">
        <v>38418.066707956503</v>
      </c>
      <c r="G13" s="110"/>
      <c r="H13" s="113">
        <v>17948.71794623079</v>
      </c>
      <c r="I13" s="113">
        <v>20033.234626078895</v>
      </c>
      <c r="J13" s="113">
        <v>37981.952572309689</v>
      </c>
      <c r="K13" s="110"/>
      <c r="L13" s="113">
        <v>17913.406667613883</v>
      </c>
      <c r="M13" s="113">
        <v>19640.128535523938</v>
      </c>
      <c r="N13" s="113">
        <v>37553.535203137821</v>
      </c>
    </row>
    <row r="14" spans="1:14">
      <c r="A14" s="110">
        <v>40</v>
      </c>
      <c r="B14" s="110">
        <v>44</v>
      </c>
      <c r="D14" s="112">
        <v>16905.538939613187</v>
      </c>
      <c r="E14" s="112">
        <v>18998.33357305931</v>
      </c>
      <c r="F14" s="112">
        <v>35903.872512672497</v>
      </c>
      <c r="G14" s="110"/>
      <c r="H14" s="113">
        <v>16860.493058369419</v>
      </c>
      <c r="I14" s="113">
        <v>19026.19217566029</v>
      </c>
      <c r="J14" s="113">
        <v>35886.685234029705</v>
      </c>
      <c r="K14" s="110"/>
      <c r="L14" s="113">
        <v>16815.542634135632</v>
      </c>
      <c r="M14" s="113">
        <v>19054.106919506925</v>
      </c>
      <c r="N14" s="113">
        <v>35869.649553642557</v>
      </c>
    </row>
    <row r="15" spans="1:14">
      <c r="A15" s="110">
        <v>45</v>
      </c>
      <c r="B15" s="110">
        <v>49</v>
      </c>
      <c r="D15" s="112">
        <v>14722.888857179783</v>
      </c>
      <c r="E15" s="112">
        <v>16342.192489611656</v>
      </c>
      <c r="F15" s="112">
        <v>31065.081346791441</v>
      </c>
      <c r="G15" s="110"/>
      <c r="H15" s="113">
        <v>15680.661034664829</v>
      </c>
      <c r="I15" s="113">
        <v>17731.95965413317</v>
      </c>
      <c r="J15" s="113">
        <v>33412.620688798001</v>
      </c>
      <c r="K15" s="110"/>
      <c r="L15" s="113">
        <v>16701.315871530609</v>
      </c>
      <c r="M15" s="113">
        <v>19240.774927434202</v>
      </c>
      <c r="N15" s="113">
        <v>35942.090798964811</v>
      </c>
    </row>
    <row r="16" spans="1:14">
      <c r="A16" s="110">
        <v>50</v>
      </c>
      <c r="B16" s="110">
        <v>54</v>
      </c>
      <c r="D16" s="112">
        <v>12183.100134115011</v>
      </c>
      <c r="E16" s="112">
        <v>13344.823168845223</v>
      </c>
      <c r="F16" s="112">
        <v>25527.923302960233</v>
      </c>
      <c r="G16" s="110"/>
      <c r="H16" s="113">
        <v>13910.605439912164</v>
      </c>
      <c r="I16" s="113">
        <v>15625.928349721071</v>
      </c>
      <c r="J16" s="113">
        <v>29536.533789633235</v>
      </c>
      <c r="K16" s="110"/>
      <c r="L16" s="113">
        <v>15884.21618186156</v>
      </c>
      <c r="M16" s="113">
        <v>18298.536876338076</v>
      </c>
      <c r="N16" s="113">
        <v>34182.75305819964</v>
      </c>
    </row>
    <row r="17" spans="1:14">
      <c r="A17" s="110">
        <v>55</v>
      </c>
      <c r="B17" s="110">
        <v>59</v>
      </c>
      <c r="D17" s="112">
        <v>9149.0764812757734</v>
      </c>
      <c r="E17" s="112">
        <v>9636.4134881568752</v>
      </c>
      <c r="F17" s="112">
        <v>18785.489969432649</v>
      </c>
      <c r="G17" s="110"/>
      <c r="H17" s="113">
        <v>11238.517420827702</v>
      </c>
      <c r="I17" s="113">
        <v>12290.994319358457</v>
      </c>
      <c r="J17" s="113">
        <v>23529.511740186157</v>
      </c>
      <c r="K17" s="110"/>
      <c r="L17" s="113">
        <v>13806.694338496181</v>
      </c>
      <c r="M17" s="113">
        <v>15678.932109348585</v>
      </c>
      <c r="N17" s="113">
        <v>29485.626447844767</v>
      </c>
    </row>
    <row r="18" spans="1:14">
      <c r="A18" s="110">
        <v>60</v>
      </c>
      <c r="B18" s="110">
        <v>64</v>
      </c>
      <c r="D18" s="112">
        <v>6131.7176321898578</v>
      </c>
      <c r="E18" s="112">
        <v>6266.2199142083618</v>
      </c>
      <c r="F18" s="112">
        <v>12397.93754639822</v>
      </c>
      <c r="G18" s="110"/>
      <c r="H18" s="113">
        <v>8302.2359737984189</v>
      </c>
      <c r="I18" s="113">
        <v>8931.1948925490324</v>
      </c>
      <c r="J18" s="113">
        <v>17233.430866347451</v>
      </c>
      <c r="K18" s="110"/>
      <c r="L18" s="113">
        <v>11242.944743821075</v>
      </c>
      <c r="M18" s="113">
        <v>12732.033867304426</v>
      </c>
      <c r="N18" s="113">
        <v>23974.978611125502</v>
      </c>
    </row>
    <row r="19" spans="1:14">
      <c r="A19" s="110">
        <v>65</v>
      </c>
      <c r="B19" s="110">
        <v>69</v>
      </c>
      <c r="D19" s="112">
        <v>3695.9691191161837</v>
      </c>
      <c r="E19" s="112">
        <v>3961.1943644689873</v>
      </c>
      <c r="F19" s="112">
        <v>7657.163483585171</v>
      </c>
      <c r="G19" s="110"/>
      <c r="H19" s="113">
        <v>5495.1157434200441</v>
      </c>
      <c r="I19" s="113">
        <v>6012.5145464500911</v>
      </c>
      <c r="J19" s="113">
        <v>11507.630289870136</v>
      </c>
      <c r="K19" s="110"/>
      <c r="L19" s="113">
        <v>8171.8368221910941</v>
      </c>
      <c r="M19" s="113">
        <v>9128.2048435385932</v>
      </c>
      <c r="N19" s="113">
        <v>17300.041665729688</v>
      </c>
    </row>
    <row r="20" spans="1:14">
      <c r="A20" s="110">
        <v>70</v>
      </c>
      <c r="B20" s="110">
        <v>74</v>
      </c>
      <c r="D20" s="112">
        <v>2154.5342188944419</v>
      </c>
      <c r="E20" s="112">
        <v>2557.5248384308625</v>
      </c>
      <c r="F20" s="112">
        <v>4712.0590573253048</v>
      </c>
      <c r="G20" s="110"/>
      <c r="H20" s="113">
        <v>3306.0996528267974</v>
      </c>
      <c r="I20" s="113">
        <v>3745.1728312897653</v>
      </c>
      <c r="J20" s="113">
        <v>7051.2724841165627</v>
      </c>
      <c r="K20" s="110"/>
      <c r="L20" s="113">
        <v>5074.3489051020197</v>
      </c>
      <c r="M20" s="113">
        <v>5485.4793777911009</v>
      </c>
      <c r="N20" s="113">
        <v>10559.828282893121</v>
      </c>
    </row>
    <row r="21" spans="1:14">
      <c r="A21" s="110">
        <v>75</v>
      </c>
      <c r="B21" s="110">
        <v>79</v>
      </c>
      <c r="D21" s="112">
        <v>1283.5939759622152</v>
      </c>
      <c r="E21" s="112">
        <v>1698.3480137290214</v>
      </c>
      <c r="F21" s="112">
        <v>2981.9419896912368</v>
      </c>
      <c r="G21" s="110"/>
      <c r="H21" s="113">
        <v>1856.2879297003121</v>
      </c>
      <c r="I21" s="113">
        <v>2264.338745349432</v>
      </c>
      <c r="J21" s="113">
        <v>4120.6266750497443</v>
      </c>
      <c r="K21" s="110"/>
      <c r="L21" s="113">
        <v>2685.0399611984221</v>
      </c>
      <c r="M21" s="113">
        <v>3019.4268805425254</v>
      </c>
      <c r="N21" s="113">
        <v>5704.4668417409475</v>
      </c>
    </row>
    <row r="22" spans="1:14">
      <c r="A22" s="110">
        <v>80</v>
      </c>
      <c r="B22" s="110">
        <v>84</v>
      </c>
      <c r="D22" s="112">
        <v>706.9354270883623</v>
      </c>
      <c r="E22" s="112">
        <v>1098.913968546439</v>
      </c>
      <c r="F22" s="112">
        <v>1805.8493956348013</v>
      </c>
      <c r="G22" s="110"/>
      <c r="H22" s="113">
        <v>997.95081397472927</v>
      </c>
      <c r="I22" s="113">
        <v>1413.670359457238</v>
      </c>
      <c r="J22" s="113">
        <v>2411.6211734319672</v>
      </c>
      <c r="K22" s="110"/>
      <c r="L22" s="113">
        <v>1409.0309275339387</v>
      </c>
      <c r="M22" s="113">
        <v>1818.8316984240287</v>
      </c>
      <c r="N22" s="113">
        <v>3227.8626259579673</v>
      </c>
    </row>
    <row r="23" spans="1:14">
      <c r="A23" s="110" t="s">
        <v>25</v>
      </c>
      <c r="B23" s="110"/>
      <c r="D23" s="112">
        <v>506.77963239229319</v>
      </c>
      <c r="E23" s="112">
        <v>883.50147951542499</v>
      </c>
      <c r="F23" s="112">
        <v>1390.2811119077182</v>
      </c>
      <c r="G23" s="110"/>
      <c r="H23" s="113">
        <v>684.5035834537573</v>
      </c>
      <c r="I23" s="113">
        <v>1205.7388275457736</v>
      </c>
      <c r="J23" s="113">
        <v>1890.2424109995309</v>
      </c>
      <c r="K23" s="110"/>
      <c r="L23" s="113">
        <v>924.70626200867173</v>
      </c>
      <c r="M23" s="113">
        <v>1645.7852622763319</v>
      </c>
      <c r="N23" s="113">
        <v>2570.4915242850038</v>
      </c>
    </row>
    <row r="24" spans="1:14">
      <c r="A24" s="176" t="s">
        <v>26</v>
      </c>
      <c r="B24" s="176"/>
      <c r="D24" s="114">
        <v>238698.54561933569</v>
      </c>
      <c r="E24" s="114">
        <v>248947.91978545429</v>
      </c>
      <c r="F24" s="114">
        <v>487646.46540479001</v>
      </c>
      <c r="G24" s="110"/>
      <c r="H24" s="115">
        <v>243431.7258002171</v>
      </c>
      <c r="I24" s="115">
        <v>254769.21904154919</v>
      </c>
      <c r="J24" s="115">
        <v>498200.94484176638</v>
      </c>
      <c r="K24" s="110"/>
      <c r="L24" s="115">
        <v>252215.87834033938</v>
      </c>
      <c r="M24" s="115">
        <v>265530.78700046276</v>
      </c>
      <c r="N24" s="115">
        <v>517746.66534080217</v>
      </c>
    </row>
  </sheetData>
  <mergeCells count="5">
    <mergeCell ref="L3:N3"/>
    <mergeCell ref="A3:B3"/>
    <mergeCell ref="A24:B24"/>
    <mergeCell ref="D3:F3"/>
    <mergeCell ref="H3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topLeftCell="M10" zoomScale="90" zoomScaleNormal="90" workbookViewId="0">
      <selection activeCell="O25" sqref="O25"/>
    </sheetView>
  </sheetViews>
  <sheetFormatPr baseColWidth="10" defaultRowHeight="15"/>
  <cols>
    <col min="14" max="14" width="11.42578125" customWidth="1"/>
    <col min="20" max="20" width="15.28515625" customWidth="1"/>
    <col min="21" max="21" width="15.140625" customWidth="1"/>
  </cols>
  <sheetData>
    <row r="1" spans="1:29" ht="15.75" thickBot="1"/>
    <row r="2" spans="1:29" ht="15.75" thickBot="1">
      <c r="A2" s="177" t="s">
        <v>32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9"/>
      <c r="P2" s="180" t="s">
        <v>33</v>
      </c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</row>
    <row r="3" spans="1:29" ht="30.75" thickBot="1">
      <c r="A3" s="116"/>
      <c r="B3" s="116"/>
      <c r="C3" s="116"/>
      <c r="D3" s="116"/>
      <c r="E3" s="117" t="s">
        <v>34</v>
      </c>
      <c r="F3" s="116"/>
      <c r="G3" s="118" t="s">
        <v>35</v>
      </c>
      <c r="H3" s="116"/>
      <c r="I3" s="116"/>
      <c r="J3" s="116"/>
      <c r="K3" s="116"/>
      <c r="L3" s="116"/>
      <c r="M3" s="116"/>
      <c r="N3" s="116"/>
      <c r="P3" s="123"/>
      <c r="Q3" s="123"/>
      <c r="R3" s="123"/>
      <c r="S3" s="123"/>
      <c r="T3" s="124" t="s">
        <v>36</v>
      </c>
      <c r="U3" s="123"/>
      <c r="V3" s="124" t="s">
        <v>35</v>
      </c>
      <c r="W3" s="123"/>
      <c r="X3" s="123"/>
      <c r="Y3" s="123"/>
      <c r="Z3" s="123"/>
      <c r="AA3" s="123"/>
      <c r="AB3" s="123"/>
      <c r="AC3" s="123"/>
    </row>
    <row r="4" spans="1:29" ht="15.75" thickBot="1">
      <c r="A4" s="34" t="s">
        <v>37</v>
      </c>
      <c r="B4" s="34" t="s">
        <v>38</v>
      </c>
      <c r="C4" s="34" t="s">
        <v>39</v>
      </c>
      <c r="D4" s="34" t="s">
        <v>40</v>
      </c>
      <c r="E4" s="34" t="s">
        <v>41</v>
      </c>
      <c r="F4" s="34" t="s">
        <v>42</v>
      </c>
      <c r="G4" s="34" t="s">
        <v>43</v>
      </c>
      <c r="H4" s="34" t="s">
        <v>44</v>
      </c>
      <c r="I4" s="34" t="s">
        <v>45</v>
      </c>
      <c r="J4" s="34" t="s">
        <v>46</v>
      </c>
      <c r="K4" s="34" t="s">
        <v>47</v>
      </c>
      <c r="L4" s="34" t="s">
        <v>48</v>
      </c>
      <c r="M4" s="34" t="s">
        <v>49</v>
      </c>
      <c r="N4" s="34" t="s">
        <v>50</v>
      </c>
      <c r="P4" s="35" t="s">
        <v>37</v>
      </c>
      <c r="Q4" s="35" t="s">
        <v>38</v>
      </c>
      <c r="R4" s="35" t="s">
        <v>39</v>
      </c>
      <c r="S4" s="35" t="s">
        <v>40</v>
      </c>
      <c r="T4" s="35" t="s">
        <v>41</v>
      </c>
      <c r="U4" s="35" t="s">
        <v>42</v>
      </c>
      <c r="V4" s="35" t="s">
        <v>43</v>
      </c>
      <c r="W4" s="35" t="s">
        <v>44</v>
      </c>
      <c r="X4" s="35" t="s">
        <v>45</v>
      </c>
      <c r="Y4" s="35" t="s">
        <v>46</v>
      </c>
      <c r="Z4" s="35" t="s">
        <v>47</v>
      </c>
      <c r="AA4" s="35" t="s">
        <v>48</v>
      </c>
      <c r="AB4" s="35" t="s">
        <v>49</v>
      </c>
      <c r="AC4" s="35" t="s">
        <v>50</v>
      </c>
    </row>
    <row r="5" spans="1:29" ht="16.5" thickTop="1" thickBot="1">
      <c r="A5" s="36">
        <v>0</v>
      </c>
      <c r="B5" s="36">
        <v>1</v>
      </c>
      <c r="C5" s="37">
        <v>0.5</v>
      </c>
      <c r="D5" s="38">
        <v>19.421286031042129</v>
      </c>
      <c r="E5" s="38">
        <v>3907.1772915946071</v>
      </c>
      <c r="F5" s="39">
        <v>4.9706692534333052E-3</v>
      </c>
      <c r="G5" s="40">
        <v>1.2881684300934422E-2</v>
      </c>
      <c r="H5" s="39">
        <v>1.2799246375385626E-2</v>
      </c>
      <c r="I5" s="41">
        <v>0.98720075362461435</v>
      </c>
      <c r="J5" s="36">
        <v>100000</v>
      </c>
      <c r="K5" s="39">
        <v>1279.9246375385626</v>
      </c>
      <c r="L5" s="37">
        <v>99360.037681230708</v>
      </c>
      <c r="M5" s="42">
        <v>8267746.5171144521</v>
      </c>
      <c r="N5" s="36">
        <v>82.677465171144519</v>
      </c>
      <c r="P5" s="35">
        <v>0</v>
      </c>
      <c r="Q5" s="36">
        <v>1</v>
      </c>
      <c r="R5" s="37">
        <v>0.5</v>
      </c>
      <c r="S5" s="43">
        <v>13.070080862533693</v>
      </c>
      <c r="T5" s="44">
        <v>3864.5627041459138</v>
      </c>
      <c r="U5" s="44">
        <v>3.3820335864940356E-3</v>
      </c>
      <c r="V5" s="45">
        <v>8.8152523803059993E-3</v>
      </c>
      <c r="W5" s="44">
        <v>8.776568546918927E-3</v>
      </c>
      <c r="X5" s="44">
        <v>0.99122343145308112</v>
      </c>
      <c r="Y5" s="44">
        <v>100000</v>
      </c>
      <c r="Z5" s="44">
        <v>877.6568546918927</v>
      </c>
      <c r="AA5" s="44">
        <v>99561.171572654057</v>
      </c>
      <c r="AB5" s="44">
        <v>8648608.8093666136</v>
      </c>
      <c r="AC5" s="44">
        <v>86.48608809366614</v>
      </c>
    </row>
    <row r="6" spans="1:29" ht="16.5" thickTop="1" thickBot="1">
      <c r="A6" s="36">
        <v>1</v>
      </c>
      <c r="B6" s="36">
        <v>4</v>
      </c>
      <c r="C6" s="37">
        <v>2</v>
      </c>
      <c r="D6" s="38">
        <v>5.1108647450110869</v>
      </c>
      <c r="E6" s="38">
        <v>18182.400551759696</v>
      </c>
      <c r="F6" s="39">
        <v>2.8108855761163268E-4</v>
      </c>
      <c r="G6" s="39">
        <v>2.8108855761163268E-4</v>
      </c>
      <c r="H6" s="39">
        <v>1.1237224993735214E-3</v>
      </c>
      <c r="I6" s="41">
        <v>0.99887627750062646</v>
      </c>
      <c r="J6" s="38">
        <v>98720.07536246143</v>
      </c>
      <c r="K6" s="39">
        <v>110.93396982464755</v>
      </c>
      <c r="L6" s="37">
        <v>394658.4335101964</v>
      </c>
      <c r="M6" s="42">
        <v>8168386.4794332217</v>
      </c>
      <c r="N6" s="36">
        <v>82.742911707088027</v>
      </c>
      <c r="P6" s="35">
        <v>1</v>
      </c>
      <c r="Q6" s="36">
        <v>4</v>
      </c>
      <c r="R6" s="37">
        <v>2</v>
      </c>
      <c r="S6" s="43">
        <v>1.0053908355795149</v>
      </c>
      <c r="T6" s="44">
        <v>17457.318792316153</v>
      </c>
      <c r="U6" s="44">
        <v>5.7591365978951942E-5</v>
      </c>
      <c r="V6" s="44">
        <v>5.7591365978951942E-5</v>
      </c>
      <c r="W6" s="44">
        <v>2.3033893284824604E-4</v>
      </c>
      <c r="X6" s="44">
        <v>0.9997696610671517</v>
      </c>
      <c r="Y6" s="43">
        <v>99122.343145308114</v>
      </c>
      <c r="Z6" s="44">
        <v>22.831734741507926</v>
      </c>
      <c r="AA6" s="44">
        <v>396443.70911174943</v>
      </c>
      <c r="AB6" s="44">
        <v>8549047.6377939582</v>
      </c>
      <c r="AC6" s="44">
        <v>86.24743288464748</v>
      </c>
    </row>
    <row r="7" spans="1:29" ht="16.5" thickTop="1" thickBot="1">
      <c r="A7" s="36">
        <v>5</v>
      </c>
      <c r="B7" s="36">
        <v>5</v>
      </c>
      <c r="C7" s="37">
        <v>2.5</v>
      </c>
      <c r="D7" s="38">
        <v>3.0665188470066518</v>
      </c>
      <c r="E7" s="38">
        <v>23465.682304423815</v>
      </c>
      <c r="F7" s="39">
        <v>1.3068100075779783E-4</v>
      </c>
      <c r="G7" s="39">
        <v>1.3068100075779783E-4</v>
      </c>
      <c r="H7" s="39">
        <v>6.531916044575963E-4</v>
      </c>
      <c r="I7" s="41">
        <v>0.99934680839554235</v>
      </c>
      <c r="J7" s="38">
        <v>98609.141392636782</v>
      </c>
      <c r="K7" s="39">
        <v>64.410663280442392</v>
      </c>
      <c r="L7" s="37">
        <v>492884.68030498282</v>
      </c>
      <c r="M7" s="42">
        <v>7773728.0459230253</v>
      </c>
      <c r="N7" s="36">
        <v>78.833746406633807</v>
      </c>
      <c r="P7" s="35">
        <v>5</v>
      </c>
      <c r="Q7" s="36">
        <v>5</v>
      </c>
      <c r="R7" s="37">
        <v>2.5</v>
      </c>
      <c r="S7" s="43">
        <v>2.0107816711590298</v>
      </c>
      <c r="T7" s="44">
        <v>22393.196309981347</v>
      </c>
      <c r="U7" s="44">
        <v>8.9794312670887528E-5</v>
      </c>
      <c r="V7" s="44">
        <v>8.9794312670887528E-5</v>
      </c>
      <c r="W7" s="44">
        <v>4.4887079824242217E-4</v>
      </c>
      <c r="X7" s="44">
        <v>0.99955112920175759</v>
      </c>
      <c r="Y7" s="43">
        <v>99099.5114105666</v>
      </c>
      <c r="Z7" s="44">
        <v>44.482876792295052</v>
      </c>
      <c r="AA7" s="44">
        <v>495386.34986085229</v>
      </c>
      <c r="AB7" s="44">
        <v>8152603.9286822109</v>
      </c>
      <c r="AC7" s="44">
        <v>82.266842819296983</v>
      </c>
    </row>
    <row r="8" spans="1:29" ht="16.5" thickTop="1" thickBot="1">
      <c r="A8" s="36">
        <v>10</v>
      </c>
      <c r="B8" s="36">
        <v>5</v>
      </c>
      <c r="C8" s="37">
        <v>2.5</v>
      </c>
      <c r="D8" s="38">
        <v>1.0221729490022173</v>
      </c>
      <c r="E8" s="38">
        <v>22922.623482507068</v>
      </c>
      <c r="F8" s="39">
        <v>4.4592319451666071E-5</v>
      </c>
      <c r="G8" s="39">
        <v>4.4592319451666071E-5</v>
      </c>
      <c r="H8" s="39">
        <v>2.2293674409205519E-4</v>
      </c>
      <c r="I8" s="41">
        <v>0.99977706325590798</v>
      </c>
      <c r="J8" s="38">
        <v>98544.730729356335</v>
      </c>
      <c r="K8" s="39">
        <v>21.969241416231</v>
      </c>
      <c r="L8" s="37">
        <v>492668.73054324108</v>
      </c>
      <c r="M8" s="42">
        <v>7280843.3656180426</v>
      </c>
      <c r="N8" s="36">
        <v>73.883639558711479</v>
      </c>
      <c r="P8" s="35">
        <v>10</v>
      </c>
      <c r="Q8" s="36">
        <v>5</v>
      </c>
      <c r="R8" s="37">
        <v>2.5</v>
      </c>
      <c r="S8" s="43">
        <v>4.0215633423180597</v>
      </c>
      <c r="T8" s="44">
        <v>22310.888876533452</v>
      </c>
      <c r="U8" s="44">
        <v>1.8025114842232627E-4</v>
      </c>
      <c r="V8" s="44">
        <v>1.8025114842232627E-4</v>
      </c>
      <c r="W8" s="44">
        <v>9.0084979408678093E-4</v>
      </c>
      <c r="X8" s="44">
        <v>0.99909915020591322</v>
      </c>
      <c r="Y8" s="43">
        <v>99055.028533774312</v>
      </c>
      <c r="Z8" s="44">
        <v>89.233702057910804</v>
      </c>
      <c r="AA8" s="44">
        <v>495052.05841372674</v>
      </c>
      <c r="AB8" s="44">
        <v>7657217.5788213583</v>
      </c>
      <c r="AC8" s="44">
        <v>77.302663904745771</v>
      </c>
    </row>
    <row r="9" spans="1:29" ht="16.5" thickTop="1" thickBot="1">
      <c r="A9" s="36">
        <v>15</v>
      </c>
      <c r="B9" s="36">
        <v>5</v>
      </c>
      <c r="C9" s="37">
        <v>2.5</v>
      </c>
      <c r="D9" s="38">
        <v>13.288248337028826</v>
      </c>
      <c r="E9" s="38">
        <v>23496.644453558081</v>
      </c>
      <c r="F9" s="39">
        <v>5.6553812878658066E-4</v>
      </c>
      <c r="G9" s="39">
        <v>5.6553812878658066E-4</v>
      </c>
      <c r="H9" s="39">
        <v>2.8236983712001374E-3</v>
      </c>
      <c r="I9" s="41">
        <v>0.99717630162879989</v>
      </c>
      <c r="J9" s="38">
        <v>98522.761487940108</v>
      </c>
      <c r="K9" s="39">
        <v>278.19856113963613</v>
      </c>
      <c r="L9" s="37">
        <v>491918.31103685143</v>
      </c>
      <c r="M9" s="42">
        <v>6788174.6350748017</v>
      </c>
      <c r="N9" s="36">
        <v>68.899557143510663</v>
      </c>
      <c r="P9" s="35">
        <v>15</v>
      </c>
      <c r="Q9" s="36">
        <v>5</v>
      </c>
      <c r="R9" s="37">
        <v>2.5</v>
      </c>
      <c r="S9" s="43">
        <v>3.0161725067385445</v>
      </c>
      <c r="T9" s="44">
        <v>23208.308230709263</v>
      </c>
      <c r="U9" s="44">
        <v>1.2996089489829946E-4</v>
      </c>
      <c r="V9" s="44">
        <v>1.2996089489829946E-4</v>
      </c>
      <c r="W9" s="44">
        <v>6.4959342013599496E-4</v>
      </c>
      <c r="X9" s="44">
        <v>0.99935040657986396</v>
      </c>
      <c r="Y9" s="43">
        <v>98965.794831716397</v>
      </c>
      <c r="Z9" s="44">
        <v>64.287529141211834</v>
      </c>
      <c r="AA9" s="44">
        <v>494668.25533572893</v>
      </c>
      <c r="AB9" s="44">
        <v>7162165.520407632</v>
      </c>
      <c r="AC9" s="44">
        <v>72.370110628488717</v>
      </c>
    </row>
    <row r="10" spans="1:29" ht="16.5" thickTop="1" thickBot="1">
      <c r="A10" s="36">
        <v>20</v>
      </c>
      <c r="B10" s="36">
        <v>5</v>
      </c>
      <c r="C10" s="37">
        <v>2.5</v>
      </c>
      <c r="D10" s="38">
        <v>17.376940133037696</v>
      </c>
      <c r="E10" s="38">
        <v>22924.811474886879</v>
      </c>
      <c r="F10" s="39">
        <v>7.579970789322899E-4</v>
      </c>
      <c r="G10" s="39">
        <v>7.579970789322899E-4</v>
      </c>
      <c r="H10" s="39">
        <v>3.7828169841012393E-3</v>
      </c>
      <c r="I10" s="41">
        <v>0.99621718301589879</v>
      </c>
      <c r="J10" s="38">
        <v>98244.56292680047</v>
      </c>
      <c r="K10" s="39">
        <v>371.64120123510378</v>
      </c>
      <c r="L10" s="37">
        <v>490293.71163091453</v>
      </c>
      <c r="M10" s="42">
        <v>6296256.3240379505</v>
      </c>
      <c r="N10" s="36">
        <v>64.087580385788186</v>
      </c>
      <c r="P10" s="35">
        <v>20</v>
      </c>
      <c r="Q10" s="36">
        <v>5</v>
      </c>
      <c r="R10" s="37">
        <v>2.5</v>
      </c>
      <c r="S10" s="43">
        <v>10.05390835579515</v>
      </c>
      <c r="T10" s="44">
        <v>23019.882440906371</v>
      </c>
      <c r="U10" s="44">
        <v>4.3674890093831829E-4</v>
      </c>
      <c r="V10" s="44">
        <v>4.3674890093831829E-4</v>
      </c>
      <c r="W10" s="44">
        <v>2.1813627352486723E-3</v>
      </c>
      <c r="X10" s="44">
        <v>0.99781863726475128</v>
      </c>
      <c r="Y10" s="43">
        <v>98901.507302575177</v>
      </c>
      <c r="Z10" s="44">
        <v>215.74006248976193</v>
      </c>
      <c r="AA10" s="44">
        <v>493968.18635665142</v>
      </c>
      <c r="AB10" s="44">
        <v>6667497.2650719024</v>
      </c>
      <c r="AC10" s="44">
        <v>67.415527294984869</v>
      </c>
    </row>
    <row r="11" spans="1:29" ht="16.5" thickTop="1" thickBot="1">
      <c r="A11" s="36">
        <v>25</v>
      </c>
      <c r="B11" s="36">
        <v>5</v>
      </c>
      <c r="C11" s="37">
        <v>2.5</v>
      </c>
      <c r="D11" s="38">
        <v>22.487804878048781</v>
      </c>
      <c r="E11" s="38">
        <v>20143.50376765725</v>
      </c>
      <c r="F11" s="39">
        <v>1.1163800070450296E-3</v>
      </c>
      <c r="G11" s="39">
        <v>1.1163800070450296E-3</v>
      </c>
      <c r="H11" s="39">
        <v>5.5663645898749985E-3</v>
      </c>
      <c r="I11" s="41">
        <v>0.99443363541012497</v>
      </c>
      <c r="J11" s="38">
        <v>97872.921725565364</v>
      </c>
      <c r="K11" s="39">
        <v>544.79636580079443</v>
      </c>
      <c r="L11" s="37">
        <v>488002.61771332484</v>
      </c>
      <c r="M11" s="42">
        <v>5805962.6124070352</v>
      </c>
      <c r="N11" s="36">
        <v>59.321439577403162</v>
      </c>
      <c r="P11" s="35">
        <v>25</v>
      </c>
      <c r="Q11" s="36">
        <v>5</v>
      </c>
      <c r="R11" s="37">
        <v>2.5</v>
      </c>
      <c r="S11" s="43">
        <v>6.0323450134770891</v>
      </c>
      <c r="T11" s="44">
        <v>21174.039426968884</v>
      </c>
      <c r="U11" s="44">
        <v>2.8489344389308308E-4</v>
      </c>
      <c r="V11" s="44">
        <v>2.8489344389308308E-4</v>
      </c>
      <c r="W11" s="44">
        <v>1.423453388120508E-3</v>
      </c>
      <c r="X11" s="44">
        <v>0.99857654661187945</v>
      </c>
      <c r="Y11" s="43">
        <v>98685.767240085406</v>
      </c>
      <c r="Z11" s="44">
        <v>140.47458973717141</v>
      </c>
      <c r="AA11" s="44">
        <v>493077.64972608408</v>
      </c>
      <c r="AB11" s="44">
        <v>6173529.0787152508</v>
      </c>
      <c r="AC11" s="44">
        <v>62.557441172809874</v>
      </c>
    </row>
    <row r="12" spans="1:29" ht="16.5" thickTop="1" thickBot="1">
      <c r="A12" s="36">
        <v>30</v>
      </c>
      <c r="B12" s="36">
        <v>5</v>
      </c>
      <c r="C12" s="37">
        <v>2.5</v>
      </c>
      <c r="D12" s="38">
        <v>18.399113082039911</v>
      </c>
      <c r="E12" s="38">
        <v>18231.488428576609</v>
      </c>
      <c r="F12" s="39">
        <v>1.0091942385351577E-3</v>
      </c>
      <c r="G12" s="39">
        <v>1.0091942385351577E-3</v>
      </c>
      <c r="H12" s="39">
        <v>5.0332723191122229E-3</v>
      </c>
      <c r="I12" s="41">
        <v>0.99496672768088779</v>
      </c>
      <c r="J12" s="38">
        <v>97328.12535976457</v>
      </c>
      <c r="K12" s="39">
        <v>489.87895924438737</v>
      </c>
      <c r="L12" s="37">
        <v>485415.9294007119</v>
      </c>
      <c r="M12" s="42">
        <v>5317959.9946937095</v>
      </c>
      <c r="N12" s="36">
        <v>54.639498860543689</v>
      </c>
      <c r="P12" s="35">
        <v>30</v>
      </c>
      <c r="Q12" s="36">
        <v>5</v>
      </c>
      <c r="R12" s="37">
        <v>2.5</v>
      </c>
      <c r="S12" s="43">
        <v>4.0215633423180597</v>
      </c>
      <c r="T12" s="44">
        <v>20298.270443908823</v>
      </c>
      <c r="U12" s="44">
        <v>1.9812344866677371E-4</v>
      </c>
      <c r="V12" s="44">
        <v>1.9812344866677371E-4</v>
      </c>
      <c r="W12" s="44">
        <v>9.9012682498091174E-4</v>
      </c>
      <c r="X12" s="44">
        <v>0.9990098731750191</v>
      </c>
      <c r="Y12" s="43">
        <v>98545.29265034823</v>
      </c>
      <c r="Z12" s="44">
        <v>97.572337728704071</v>
      </c>
      <c r="AA12" s="44">
        <v>492482.53240741941</v>
      </c>
      <c r="AB12" s="44">
        <v>5680451.4289891664</v>
      </c>
      <c r="AC12" s="44">
        <v>57.643052003956818</v>
      </c>
    </row>
    <row r="13" spans="1:29" ht="16.5" thickTop="1" thickBot="1">
      <c r="A13" s="36">
        <v>35</v>
      </c>
      <c r="B13" s="36">
        <v>5</v>
      </c>
      <c r="C13" s="37">
        <v>2.5</v>
      </c>
      <c r="D13" s="38">
        <v>23.509977827050999</v>
      </c>
      <c r="E13" s="38">
        <v>17984.079446544551</v>
      </c>
      <c r="F13" s="39">
        <v>1.3072661237363578E-3</v>
      </c>
      <c r="G13" s="39">
        <v>1.3072661237363578E-3</v>
      </c>
      <c r="H13" s="39">
        <v>6.515038396206283E-3</v>
      </c>
      <c r="I13" s="41">
        <v>0.99348496160379374</v>
      </c>
      <c r="J13" s="38">
        <v>96838.246400520176</v>
      </c>
      <c r="K13" s="39">
        <v>630.9048935206738</v>
      </c>
      <c r="L13" s="37">
        <v>482613.96976879926</v>
      </c>
      <c r="M13" s="42">
        <v>4832544.0652929982</v>
      </c>
      <c r="N13" s="36">
        <v>49.903258732151514</v>
      </c>
      <c r="P13" s="35">
        <v>35</v>
      </c>
      <c r="Q13" s="36">
        <v>5</v>
      </c>
      <c r="R13" s="37">
        <v>2.5</v>
      </c>
      <c r="S13" s="43">
        <v>5.0269541778975748</v>
      </c>
      <c r="T13" s="44">
        <v>20433.987261411952</v>
      </c>
      <c r="U13" s="44">
        <v>2.4600946029709042E-4</v>
      </c>
      <c r="V13" s="44">
        <v>2.4600946029709042E-4</v>
      </c>
      <c r="W13" s="44">
        <v>1.2292912582879539E-3</v>
      </c>
      <c r="X13" s="44">
        <v>0.99877070874171203</v>
      </c>
      <c r="Y13" s="43">
        <v>98447.720312619524</v>
      </c>
      <c r="Z13" s="44">
        <v>121.02092197868062</v>
      </c>
      <c r="AA13" s="44">
        <v>491936.04925815092</v>
      </c>
      <c r="AB13" s="44">
        <v>5187968.8965817466</v>
      </c>
      <c r="AC13" s="44">
        <v>52.697704732089427</v>
      </c>
    </row>
    <row r="14" spans="1:29" ht="16.5" thickTop="1" thickBot="1">
      <c r="A14" s="36">
        <v>40</v>
      </c>
      <c r="B14" s="36">
        <v>5</v>
      </c>
      <c r="C14" s="37">
        <v>2.5</v>
      </c>
      <c r="D14" s="38">
        <v>18.399113082039911</v>
      </c>
      <c r="E14" s="38">
        <v>16905.538939613187</v>
      </c>
      <c r="F14" s="39">
        <v>1.0883482122493575E-3</v>
      </c>
      <c r="G14" s="39">
        <v>1.0883482122493575E-3</v>
      </c>
      <c r="H14" s="39">
        <v>5.4269749649941039E-3</v>
      </c>
      <c r="I14" s="41">
        <v>0.99457302503500589</v>
      </c>
      <c r="J14" s="38">
        <v>96207.34150699951</v>
      </c>
      <c r="K14" s="39">
        <v>522.11483380712446</v>
      </c>
      <c r="L14" s="37">
        <v>479731.42045047978</v>
      </c>
      <c r="M14" s="42">
        <v>4349930.0955241984</v>
      </c>
      <c r="N14" s="36">
        <v>45.214118043244355</v>
      </c>
      <c r="P14" s="35">
        <v>40</v>
      </c>
      <c r="Q14" s="36">
        <v>5</v>
      </c>
      <c r="R14" s="37">
        <v>2.5</v>
      </c>
      <c r="S14" s="43">
        <v>12.064690026954178</v>
      </c>
      <c r="T14" s="44">
        <v>18998.33357305931</v>
      </c>
      <c r="U14" s="44">
        <v>6.350393828257957E-4</v>
      </c>
      <c r="V14" s="44">
        <v>6.350393828257957E-4</v>
      </c>
      <c r="W14" s="44">
        <v>3.1701639667067933E-3</v>
      </c>
      <c r="X14" s="44">
        <v>0.99682983603329323</v>
      </c>
      <c r="Y14" s="43">
        <v>98326.699390640846</v>
      </c>
      <c r="Z14" s="44">
        <v>311.71175937342042</v>
      </c>
      <c r="AA14" s="44">
        <v>490854.2175547707</v>
      </c>
      <c r="AB14" s="44">
        <v>4696032.8473235946</v>
      </c>
      <c r="AC14" s="44">
        <v>47.759488281680113</v>
      </c>
    </row>
    <row r="15" spans="1:29" ht="16.5" thickTop="1" thickBot="1">
      <c r="A15" s="36">
        <v>45</v>
      </c>
      <c r="B15" s="36">
        <v>5</v>
      </c>
      <c r="C15" s="37">
        <v>2.5</v>
      </c>
      <c r="D15" s="38">
        <v>32.709534368070955</v>
      </c>
      <c r="E15" s="38">
        <v>14722.888857179783</v>
      </c>
      <c r="F15" s="39">
        <v>2.221679093374381E-3</v>
      </c>
      <c r="G15" s="39">
        <v>2.221679093374381E-3</v>
      </c>
      <c r="H15" s="39">
        <v>1.1047038033266357E-2</v>
      </c>
      <c r="I15" s="41">
        <v>0.98895296196673366</v>
      </c>
      <c r="J15" s="38">
        <v>95685.226673192388</v>
      </c>
      <c r="K15" s="39">
        <v>1057.0383382804689</v>
      </c>
      <c r="L15" s="37">
        <v>475783.53752026078</v>
      </c>
      <c r="M15" s="42">
        <v>3870198.6750737187</v>
      </c>
      <c r="N15" s="36">
        <v>40.447191375656857</v>
      </c>
      <c r="P15" s="35">
        <v>45</v>
      </c>
      <c r="Q15" s="36">
        <v>5</v>
      </c>
      <c r="R15" s="37">
        <v>2.5</v>
      </c>
      <c r="S15" s="43">
        <v>10.05390835579515</v>
      </c>
      <c r="T15" s="44">
        <v>16342.192489611656</v>
      </c>
      <c r="U15" s="44">
        <v>6.1521172034818339E-4</v>
      </c>
      <c r="V15" s="44">
        <v>6.1521172034818339E-4</v>
      </c>
      <c r="W15" s="44">
        <v>3.0713347988275373E-3</v>
      </c>
      <c r="X15" s="44">
        <v>0.99692866520117251</v>
      </c>
      <c r="Y15" s="43">
        <v>98014.987631267431</v>
      </c>
      <c r="Z15" s="44">
        <v>301.03684231856232</v>
      </c>
      <c r="AA15" s="44">
        <v>489322.34605054074</v>
      </c>
      <c r="AB15" s="44">
        <v>4205178.6297688242</v>
      </c>
      <c r="AC15" s="44">
        <v>42.903424582255873</v>
      </c>
    </row>
    <row r="16" spans="1:29" ht="16.5" thickTop="1" thickBot="1">
      <c r="A16" s="36">
        <v>50</v>
      </c>
      <c r="B16" s="36">
        <v>5</v>
      </c>
      <c r="C16" s="37">
        <v>2.5</v>
      </c>
      <c r="D16" s="38">
        <v>27.59866962305987</v>
      </c>
      <c r="E16" s="38">
        <v>12183.100134115011</v>
      </c>
      <c r="F16" s="39">
        <v>2.2653240406174053E-3</v>
      </c>
      <c r="G16" s="39">
        <v>2.2653240406174053E-3</v>
      </c>
      <c r="H16" s="39">
        <v>1.1262835274306028E-2</v>
      </c>
      <c r="I16" s="41">
        <v>0.98873716472569395</v>
      </c>
      <c r="J16" s="38">
        <v>94628.188334911916</v>
      </c>
      <c r="K16" s="39">
        <v>1065.7816975221201</v>
      </c>
      <c r="L16" s="37">
        <v>470476.48743075429</v>
      </c>
      <c r="M16" s="42">
        <v>3394415.1375534581</v>
      </c>
      <c r="N16" s="36">
        <v>35.871078135193784</v>
      </c>
      <c r="P16" s="35">
        <v>50</v>
      </c>
      <c r="Q16" s="36">
        <v>5</v>
      </c>
      <c r="R16" s="37">
        <v>2.5</v>
      </c>
      <c r="S16" s="43">
        <v>17.091644204851754</v>
      </c>
      <c r="T16" s="44">
        <v>13344.823168845223</v>
      </c>
      <c r="U16" s="44">
        <v>1.2807696279373596E-3</v>
      </c>
      <c r="V16" s="44">
        <v>1.2807696279373596E-3</v>
      </c>
      <c r="W16" s="44">
        <v>6.3834089489255797E-3</v>
      </c>
      <c r="X16" s="44">
        <v>0.99361659105107447</v>
      </c>
      <c r="Y16" s="43">
        <v>97713.950788948874</v>
      </c>
      <c r="Z16" s="44">
        <v>623.74810790104993</v>
      </c>
      <c r="AA16" s="44">
        <v>487010.38367499178</v>
      </c>
      <c r="AB16" s="44">
        <v>3715856.2837182838</v>
      </c>
      <c r="AC16" s="44">
        <v>38.027899329790834</v>
      </c>
    </row>
    <row r="17" spans="1:29" ht="16.5" thickTop="1" thickBot="1">
      <c r="A17" s="36">
        <v>55</v>
      </c>
      <c r="B17" s="36">
        <v>5</v>
      </c>
      <c r="C17" s="37">
        <v>2.5</v>
      </c>
      <c r="D17" s="38">
        <v>29.643015521064303</v>
      </c>
      <c r="E17" s="38">
        <v>9149.0764812757734</v>
      </c>
      <c r="F17" s="39">
        <v>3.2400008439901901E-3</v>
      </c>
      <c r="G17" s="39">
        <v>3.2400008439901901E-3</v>
      </c>
      <c r="H17" s="39">
        <v>1.6069838494240634E-2</v>
      </c>
      <c r="I17" s="41">
        <v>0.9839301615057594</v>
      </c>
      <c r="J17" s="38">
        <v>93562.406637389795</v>
      </c>
      <c r="K17" s="39">
        <v>1503.5327637953219</v>
      </c>
      <c r="L17" s="37">
        <v>464053.20127746067</v>
      </c>
      <c r="M17" s="42">
        <v>2923938.650122704</v>
      </c>
      <c r="N17" s="36">
        <v>31.251212481683083</v>
      </c>
      <c r="P17" s="35">
        <v>55</v>
      </c>
      <c r="Q17" s="36">
        <v>5</v>
      </c>
      <c r="R17" s="37">
        <v>2.5</v>
      </c>
      <c r="S17" s="43">
        <v>22.11859838274933</v>
      </c>
      <c r="T17" s="44">
        <v>9636.4134881568752</v>
      </c>
      <c r="U17" s="44">
        <v>2.2953143729182047E-3</v>
      </c>
      <c r="V17" s="44">
        <v>2.2953143729182047E-3</v>
      </c>
      <c r="W17" s="44">
        <v>1.1411091757288045E-2</v>
      </c>
      <c r="X17" s="44">
        <v>0.98858890824271195</v>
      </c>
      <c r="Y17" s="43">
        <v>97090.202681047827</v>
      </c>
      <c r="Z17" s="44">
        <v>1107.9052115271304</v>
      </c>
      <c r="AA17" s="44">
        <v>482681.25037642132</v>
      </c>
      <c r="AB17" s="44">
        <v>3228845.9000432924</v>
      </c>
      <c r="AC17" s="44">
        <v>33.256145428498201</v>
      </c>
    </row>
    <row r="18" spans="1:29" ht="16.5" thickTop="1" thickBot="1">
      <c r="A18" s="36">
        <v>60</v>
      </c>
      <c r="B18" s="36">
        <v>5</v>
      </c>
      <c r="C18" s="37">
        <v>2.5</v>
      </c>
      <c r="D18" s="38">
        <v>35.77605321507761</v>
      </c>
      <c r="E18" s="38">
        <v>6131.7176321898578</v>
      </c>
      <c r="F18" s="39">
        <v>5.8345891577366539E-3</v>
      </c>
      <c r="G18" s="39">
        <v>5.8345891577366539E-3</v>
      </c>
      <c r="H18" s="39">
        <v>2.875353315667685E-2</v>
      </c>
      <c r="I18" s="41">
        <v>0.97124646684332316</v>
      </c>
      <c r="J18" s="38">
        <v>92058.873873594479</v>
      </c>
      <c r="K18" s="39">
        <v>2647.017882290731</v>
      </c>
      <c r="L18" s="37">
        <v>453676.82466224558</v>
      </c>
      <c r="M18" s="42">
        <v>2459885.4488452426</v>
      </c>
      <c r="N18" s="36">
        <v>26.720785790003227</v>
      </c>
      <c r="P18" s="35">
        <v>60</v>
      </c>
      <c r="Q18" s="36">
        <v>5</v>
      </c>
      <c r="R18" s="37">
        <v>2.5</v>
      </c>
      <c r="S18" s="43">
        <v>22.11859838274933</v>
      </c>
      <c r="T18" s="44">
        <v>6266.2199142083618</v>
      </c>
      <c r="U18" s="44">
        <v>3.5298152132510444E-3</v>
      </c>
      <c r="V18" s="44">
        <v>3.5298152132510444E-3</v>
      </c>
      <c r="W18" s="44">
        <v>1.7494693478278249E-2</v>
      </c>
      <c r="X18" s="44">
        <v>0.98250530652172174</v>
      </c>
      <c r="Y18" s="43">
        <v>95982.297469520694</v>
      </c>
      <c r="Z18" s="44">
        <v>1679.1808735701866</v>
      </c>
      <c r="AA18" s="44">
        <v>475713.535163678</v>
      </c>
      <c r="AB18" s="44">
        <v>2746164.6496668709</v>
      </c>
      <c r="AC18" s="44">
        <v>28.611157703730932</v>
      </c>
    </row>
    <row r="19" spans="1:29" ht="16.5" thickTop="1" thickBot="1">
      <c r="A19" s="36">
        <v>65</v>
      </c>
      <c r="B19" s="36">
        <v>5</v>
      </c>
      <c r="C19" s="37">
        <v>2.5</v>
      </c>
      <c r="D19" s="38">
        <v>34.753880266075392</v>
      </c>
      <c r="E19" s="38">
        <v>3695.9691191161837</v>
      </c>
      <c r="F19" s="39">
        <v>9.4031846982493405E-3</v>
      </c>
      <c r="G19" s="39">
        <v>9.4031846982493405E-3</v>
      </c>
      <c r="H19" s="39">
        <v>4.5936060341982728E-2</v>
      </c>
      <c r="I19" s="41">
        <v>0.95406393965801728</v>
      </c>
      <c r="J19" s="38">
        <v>89411.855991303746</v>
      </c>
      <c r="K19" s="39">
        <v>4107.2284121051989</v>
      </c>
      <c r="L19" s="37">
        <v>436791.20892625576</v>
      </c>
      <c r="M19" s="42">
        <v>2006208.6241829973</v>
      </c>
      <c r="N19" s="36">
        <v>22.437836704543102</v>
      </c>
      <c r="P19" s="35">
        <v>65</v>
      </c>
      <c r="Q19" s="36">
        <v>5</v>
      </c>
      <c r="R19" s="37">
        <v>2.5</v>
      </c>
      <c r="S19" s="43">
        <v>29.156334231805932</v>
      </c>
      <c r="T19" s="44">
        <v>3961.1943644689873</v>
      </c>
      <c r="U19" s="44">
        <v>7.3604906876904653E-3</v>
      </c>
      <c r="V19" s="44">
        <v>7.3604906876904653E-3</v>
      </c>
      <c r="W19" s="44">
        <v>3.6137479485380458E-2</v>
      </c>
      <c r="X19" s="44">
        <v>0.96386252051461951</v>
      </c>
      <c r="Y19" s="43">
        <v>94303.116595950502</v>
      </c>
      <c r="Z19" s="44">
        <v>3407.8769413936025</v>
      </c>
      <c r="AA19" s="44">
        <v>462995.89062626846</v>
      </c>
      <c r="AB19" s="44">
        <v>2270451.1145031927</v>
      </c>
      <c r="AC19" s="44">
        <v>24.076098399071245</v>
      </c>
    </row>
    <row r="20" spans="1:29" ht="16.5" thickTop="1" thickBot="1">
      <c r="A20" s="36">
        <v>70</v>
      </c>
      <c r="B20" s="36">
        <v>5</v>
      </c>
      <c r="C20" s="37">
        <v>2.5</v>
      </c>
      <c r="D20" s="38">
        <v>35.77605321507761</v>
      </c>
      <c r="E20" s="38">
        <v>2154.5342188944419</v>
      </c>
      <c r="F20" s="39">
        <v>1.6605005806515066E-2</v>
      </c>
      <c r="G20" s="39">
        <v>1.6605005806515066E-2</v>
      </c>
      <c r="H20" s="39">
        <v>7.9715824702437557E-2</v>
      </c>
      <c r="I20" s="41">
        <v>0.92028417529756246</v>
      </c>
      <c r="J20" s="38">
        <v>85304.627579198554</v>
      </c>
      <c r="K20" s="39">
        <v>6800.1287384101124</v>
      </c>
      <c r="L20" s="37">
        <v>409522.81604996749</v>
      </c>
      <c r="M20" s="42">
        <v>1569417.4152567415</v>
      </c>
      <c r="N20" s="36">
        <v>18.397799272960455</v>
      </c>
      <c r="P20" s="35">
        <v>70</v>
      </c>
      <c r="Q20" s="36">
        <v>5</v>
      </c>
      <c r="R20" s="37">
        <v>2.5</v>
      </c>
      <c r="S20" s="43">
        <v>34.183288409703508</v>
      </c>
      <c r="T20" s="44">
        <v>2557.5248384308625</v>
      </c>
      <c r="U20" s="44">
        <v>1.3365769863129165E-2</v>
      </c>
      <c r="V20" s="44">
        <v>1.3365769863129165E-2</v>
      </c>
      <c r="W20" s="44">
        <v>6.4668005130442935E-2</v>
      </c>
      <c r="X20" s="44">
        <v>0.93533199486955709</v>
      </c>
      <c r="Y20" s="43">
        <v>90895.239654556892</v>
      </c>
      <c r="Z20" s="44">
        <v>5878.0138243137253</v>
      </c>
      <c r="AA20" s="44">
        <v>439781.16371200018</v>
      </c>
      <c r="AB20" s="44">
        <v>1807455.2238769245</v>
      </c>
      <c r="AC20" s="44">
        <v>19.885037222478026</v>
      </c>
    </row>
    <row r="21" spans="1:29" ht="16.5" thickTop="1" thickBot="1">
      <c r="A21" s="36">
        <v>75</v>
      </c>
      <c r="B21" s="36">
        <v>5</v>
      </c>
      <c r="C21" s="37">
        <v>2.5</v>
      </c>
      <c r="D21" s="38">
        <v>38.842572062084258</v>
      </c>
      <c r="E21" s="38">
        <v>1283.5939759622152</v>
      </c>
      <c r="F21" s="39">
        <v>3.0260793357936154E-2</v>
      </c>
      <c r="G21" s="39">
        <v>3.0260793357936154E-2</v>
      </c>
      <c r="H21" s="39">
        <v>0.14066256477504352</v>
      </c>
      <c r="I21" s="41">
        <v>0.85933743522495654</v>
      </c>
      <c r="J21" s="38">
        <v>78504.498840788438</v>
      </c>
      <c r="K21" s="39">
        <v>11042.644153324733</v>
      </c>
      <c r="L21" s="37">
        <v>364915.88382063038</v>
      </c>
      <c r="M21" s="42">
        <v>1159894.599206774</v>
      </c>
      <c r="N21" s="36">
        <v>14.774880628931927</v>
      </c>
      <c r="P21" s="35">
        <v>75</v>
      </c>
      <c r="Q21" s="36">
        <v>5</v>
      </c>
      <c r="R21" s="37">
        <v>2.5</v>
      </c>
      <c r="S21" s="43">
        <v>53.285714285714292</v>
      </c>
      <c r="T21" s="44">
        <v>1698.3480137290214</v>
      </c>
      <c r="U21" s="44">
        <v>3.1375026705343E-2</v>
      </c>
      <c r="V21" s="44">
        <v>3.1375026705343E-2</v>
      </c>
      <c r="W21" s="44">
        <v>0.14546519739435065</v>
      </c>
      <c r="X21" s="44">
        <v>0.8545348026056494</v>
      </c>
      <c r="Y21" s="43">
        <v>85017.225830243173</v>
      </c>
      <c r="Z21" s="44">
        <v>12367.04753731641</v>
      </c>
      <c r="AA21" s="44">
        <v>394168.51030792482</v>
      </c>
      <c r="AB21" s="44">
        <v>1367674.0601649242</v>
      </c>
      <c r="AC21" s="44">
        <v>16.087022915753639</v>
      </c>
    </row>
    <row r="22" spans="1:29" ht="16.5" thickTop="1" thickBot="1">
      <c r="A22" s="36">
        <v>80</v>
      </c>
      <c r="B22" s="36">
        <v>5</v>
      </c>
      <c r="C22" s="37">
        <v>2.5</v>
      </c>
      <c r="D22" s="38">
        <v>24.532150776053214</v>
      </c>
      <c r="E22" s="38">
        <v>706.9354270883623</v>
      </c>
      <c r="F22" s="39">
        <v>3.4702109748684096E-2</v>
      </c>
      <c r="G22" s="39">
        <v>3.4702109748684096E-2</v>
      </c>
      <c r="H22" s="39">
        <v>0.15965926537023967</v>
      </c>
      <c r="I22" s="41">
        <v>0.84034073462976033</v>
      </c>
      <c r="J22" s="38">
        <v>67461.85468746371</v>
      </c>
      <c r="K22" s="39">
        <v>10770.910159914316</v>
      </c>
      <c r="L22" s="37">
        <v>310381.99803753273</v>
      </c>
      <c r="M22" s="42">
        <v>794978.71538614365</v>
      </c>
      <c r="N22" s="36">
        <v>11.784121842915665</v>
      </c>
      <c r="P22" s="35">
        <v>80</v>
      </c>
      <c r="Q22" s="36">
        <v>5</v>
      </c>
      <c r="R22" s="37">
        <v>2.5</v>
      </c>
      <c r="S22" s="43">
        <v>42.226415094339629</v>
      </c>
      <c r="T22" s="44">
        <v>1098.913968546439</v>
      </c>
      <c r="U22" s="44">
        <v>3.8425587719294864E-2</v>
      </c>
      <c r="V22" s="44">
        <v>3.8425587719294864E-2</v>
      </c>
      <c r="W22" s="44">
        <v>0.17528898310514265</v>
      </c>
      <c r="X22" s="44">
        <v>0.82471101689485737</v>
      </c>
      <c r="Y22" s="43">
        <v>72650.178292926765</v>
      </c>
      <c r="Z22" s="44">
        <v>12734.775875374442</v>
      </c>
      <c r="AA22" s="44">
        <v>331413.9517761977</v>
      </c>
      <c r="AB22" s="44">
        <v>973505.54985699942</v>
      </c>
      <c r="AC22" s="44">
        <v>13.399905860269309</v>
      </c>
    </row>
    <row r="23" spans="1:29" ht="16.5" thickTop="1" thickBot="1">
      <c r="A23" s="36">
        <v>85</v>
      </c>
      <c r="B23" s="36">
        <v>0</v>
      </c>
      <c r="C23" s="37">
        <v>0</v>
      </c>
      <c r="D23" s="38">
        <v>59.286031042128606</v>
      </c>
      <c r="E23" s="38">
        <v>506.77963239229319</v>
      </c>
      <c r="F23" s="39">
        <v>0.11698582036982075</v>
      </c>
      <c r="G23" s="39">
        <v>0.11698582036982075</v>
      </c>
      <c r="H23" s="39">
        <v>1</v>
      </c>
      <c r="I23" s="41">
        <v>0</v>
      </c>
      <c r="J23" s="38">
        <v>56690.944527549393</v>
      </c>
      <c r="K23" s="39">
        <v>56690.944527549393</v>
      </c>
      <c r="L23" s="46">
        <v>484596.71734861092</v>
      </c>
      <c r="M23" s="42">
        <v>484596.71734861092</v>
      </c>
      <c r="N23" s="36">
        <v>8.5480445137603507</v>
      </c>
      <c r="P23" s="35">
        <v>85</v>
      </c>
      <c r="Q23" s="36">
        <v>0</v>
      </c>
      <c r="R23" s="37">
        <v>0</v>
      </c>
      <c r="S23" s="43">
        <v>82.44204851752022</v>
      </c>
      <c r="T23" s="44">
        <v>883.50147951542499</v>
      </c>
      <c r="U23" s="47">
        <v>9.3312858471654506E-2</v>
      </c>
      <c r="V23" s="44">
        <v>9.3312858471654506E-2</v>
      </c>
      <c r="W23" s="44">
        <v>1</v>
      </c>
      <c r="X23" s="44">
        <v>0</v>
      </c>
      <c r="Y23" s="43">
        <v>59915.402417552323</v>
      </c>
      <c r="Z23" s="44">
        <v>59915.402417552323</v>
      </c>
      <c r="AA23" s="48">
        <v>642091.59808080178</v>
      </c>
      <c r="AB23" s="49">
        <v>642091.59808080178</v>
      </c>
      <c r="AC23" s="44">
        <v>10.716636660570938</v>
      </c>
    </row>
    <row r="24" spans="1:29" ht="15.75" thickTop="1"/>
    <row r="26" spans="1:29" ht="15.75" thickBot="1"/>
    <row r="27" spans="1:29" ht="15.75" thickBot="1">
      <c r="A27" s="183" t="s">
        <v>51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5"/>
      <c r="P27" s="180" t="s">
        <v>52</v>
      </c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2"/>
    </row>
    <row r="28" spans="1:29" ht="30.75" thickBot="1">
      <c r="A28" s="119"/>
      <c r="B28" s="119"/>
      <c r="C28" s="119"/>
      <c r="D28" s="119"/>
      <c r="E28" s="120" t="s">
        <v>34</v>
      </c>
      <c r="F28" s="119"/>
      <c r="G28" s="121" t="s">
        <v>35</v>
      </c>
      <c r="H28" s="119"/>
      <c r="I28" s="119"/>
      <c r="J28" s="119"/>
      <c r="K28" s="119"/>
      <c r="L28" s="119"/>
      <c r="M28" s="119"/>
      <c r="N28" s="119"/>
      <c r="P28" s="123"/>
      <c r="Q28" s="123"/>
      <c r="R28" s="123"/>
      <c r="S28" s="123"/>
      <c r="T28" s="123" t="s">
        <v>89</v>
      </c>
      <c r="U28" s="123"/>
      <c r="V28" s="123" t="s">
        <v>35</v>
      </c>
      <c r="W28" s="123"/>
      <c r="X28" s="123"/>
      <c r="Y28" s="123"/>
      <c r="Z28" s="123"/>
      <c r="AA28" s="123"/>
      <c r="AB28" s="123"/>
      <c r="AC28" s="123"/>
    </row>
    <row r="29" spans="1:29" ht="15.75" thickBot="1">
      <c r="A29" s="35" t="s">
        <v>37</v>
      </c>
      <c r="B29" s="35" t="s">
        <v>38</v>
      </c>
      <c r="C29" s="35" t="s">
        <v>39</v>
      </c>
      <c r="D29" s="35" t="s">
        <v>40</v>
      </c>
      <c r="E29" s="35" t="s">
        <v>41</v>
      </c>
      <c r="F29" s="35" t="s">
        <v>42</v>
      </c>
      <c r="G29" s="35" t="s">
        <v>43</v>
      </c>
      <c r="H29" s="35" t="s">
        <v>44</v>
      </c>
      <c r="I29" s="35" t="s">
        <v>45</v>
      </c>
      <c r="J29" s="35" t="s">
        <v>46</v>
      </c>
      <c r="K29" s="35" t="s">
        <v>47</v>
      </c>
      <c r="L29" s="35" t="s">
        <v>48</v>
      </c>
      <c r="M29" s="35" t="s">
        <v>49</v>
      </c>
      <c r="N29" s="35" t="s">
        <v>50</v>
      </c>
      <c r="P29" s="35" t="s">
        <v>37</v>
      </c>
      <c r="Q29" s="35" t="s">
        <v>38</v>
      </c>
      <c r="R29" s="35" t="s">
        <v>39</v>
      </c>
      <c r="S29" s="35" t="s">
        <v>40</v>
      </c>
      <c r="T29" s="35" t="s">
        <v>41</v>
      </c>
      <c r="U29" s="35" t="s">
        <v>42</v>
      </c>
      <c r="V29" s="35" t="s">
        <v>43</v>
      </c>
      <c r="W29" s="35" t="s">
        <v>44</v>
      </c>
      <c r="X29" s="35" t="s">
        <v>45</v>
      </c>
      <c r="Y29" s="35" t="s">
        <v>46</v>
      </c>
      <c r="Z29" s="35" t="s">
        <v>47</v>
      </c>
      <c r="AA29" s="35" t="s">
        <v>48</v>
      </c>
      <c r="AB29" s="35" t="s">
        <v>49</v>
      </c>
      <c r="AC29" s="35" t="s">
        <v>50</v>
      </c>
    </row>
    <row r="30" spans="1:29" ht="16.5" thickTop="1" thickBot="1">
      <c r="A30" s="50">
        <v>0</v>
      </c>
      <c r="B30" s="50">
        <v>1</v>
      </c>
      <c r="C30" s="51">
        <v>0.5</v>
      </c>
      <c r="D30" s="43">
        <v>20</v>
      </c>
      <c r="E30" s="52">
        <v>3116.2172346680632</v>
      </c>
      <c r="F30" s="44">
        <v>6.418037798359838E-3</v>
      </c>
      <c r="G30" s="122">
        <v>7.366864509721651E-3</v>
      </c>
      <c r="H30" s="44">
        <v>7.3398287477669712E-3</v>
      </c>
      <c r="I30" s="44">
        <v>0.99266017125223305</v>
      </c>
      <c r="J30" s="44">
        <v>100000</v>
      </c>
      <c r="K30" s="44">
        <v>733.98287477669714</v>
      </c>
      <c r="L30" s="44">
        <v>99633.008562611649</v>
      </c>
      <c r="M30" s="44">
        <v>6869504.8669376122</v>
      </c>
      <c r="N30" s="44">
        <v>68.695048669376121</v>
      </c>
      <c r="P30" s="50">
        <v>0</v>
      </c>
      <c r="Q30" s="50">
        <v>1</v>
      </c>
      <c r="R30" s="51">
        <v>0.5</v>
      </c>
      <c r="S30" s="43">
        <v>20.034188034188034</v>
      </c>
      <c r="T30" s="54">
        <v>3052.8768821105159</v>
      </c>
      <c r="U30" s="44">
        <v>6.5623963257692829E-3</v>
      </c>
      <c r="V30" s="53">
        <v>7.5930218056426127E-3</v>
      </c>
      <c r="W30" s="44">
        <v>7.5643038436280256E-3</v>
      </c>
      <c r="X30" s="44">
        <v>0.99243569615637195</v>
      </c>
      <c r="Y30" s="44">
        <v>100000</v>
      </c>
      <c r="Z30" s="44">
        <v>756.43038436280256</v>
      </c>
      <c r="AA30" s="44">
        <v>99621.784807818607</v>
      </c>
      <c r="AB30" s="44">
        <v>7651685.3905417388</v>
      </c>
      <c r="AC30" s="44">
        <v>76.516853905417392</v>
      </c>
    </row>
    <row r="31" spans="1:29" ht="16.5" thickTop="1" thickBot="1">
      <c r="A31" s="50">
        <v>1</v>
      </c>
      <c r="B31" s="50">
        <v>4</v>
      </c>
      <c r="C31" s="50">
        <v>2</v>
      </c>
      <c r="D31" s="43">
        <v>2</v>
      </c>
      <c r="E31" s="52">
        <v>14906.23749653565</v>
      </c>
      <c r="F31" s="44">
        <v>1.341720203012208E-4</v>
      </c>
      <c r="G31" s="44">
        <v>1.341720203012208E-4</v>
      </c>
      <c r="H31" s="44">
        <v>5.3654410279237858E-4</v>
      </c>
      <c r="I31" s="44">
        <v>0.99946345589720764</v>
      </c>
      <c r="J31" s="44">
        <v>99266.017125223298</v>
      </c>
      <c r="K31" s="44">
        <v>53.260596096225818</v>
      </c>
      <c r="L31" s="44">
        <v>396957.54730870074</v>
      </c>
      <c r="M31" s="44">
        <v>6769871.8583749998</v>
      </c>
      <c r="N31" s="44">
        <v>68.199289690799816</v>
      </c>
      <c r="P31" s="50">
        <v>1</v>
      </c>
      <c r="Q31" s="50">
        <v>4</v>
      </c>
      <c r="R31" s="50">
        <v>2</v>
      </c>
      <c r="S31" s="43">
        <v>1.0017094017094017</v>
      </c>
      <c r="T31" s="54">
        <v>14443.194734707715</v>
      </c>
      <c r="U31" s="44">
        <v>6.9355112917105817E-5</v>
      </c>
      <c r="V31" s="44">
        <v>6.9355112917105817E-5</v>
      </c>
      <c r="W31" s="44">
        <v>2.7738197595189666E-4</v>
      </c>
      <c r="X31" s="44">
        <v>0.99972261802404805</v>
      </c>
      <c r="Y31" s="44">
        <v>99243.5696156372</v>
      </c>
      <c r="Z31" s="44">
        <v>27.528377440505061</v>
      </c>
      <c r="AA31" s="44">
        <v>396919.22170766775</v>
      </c>
      <c r="AB31" s="44">
        <v>7552063.6057339208</v>
      </c>
      <c r="AC31" s="44">
        <v>76.096251222950656</v>
      </c>
    </row>
    <row r="32" spans="1:29" ht="16.5" thickTop="1" thickBot="1">
      <c r="A32" s="50">
        <v>5</v>
      </c>
      <c r="B32" s="50">
        <v>5</v>
      </c>
      <c r="C32" s="51">
        <v>2.5</v>
      </c>
      <c r="D32" s="43">
        <v>5</v>
      </c>
      <c r="E32" s="52">
        <v>19276.588615423214</v>
      </c>
      <c r="F32" s="44">
        <v>2.593819943846027E-4</v>
      </c>
      <c r="G32" s="44">
        <v>2.593819943846027E-4</v>
      </c>
      <c r="H32" s="44">
        <v>1.2960695291746674E-3</v>
      </c>
      <c r="I32" s="44">
        <v>0.99870393047082529</v>
      </c>
      <c r="J32" s="44">
        <v>99212.756529127073</v>
      </c>
      <c r="K32" s="44">
        <v>128.58663064282663</v>
      </c>
      <c r="L32" s="44">
        <v>495742.31606902828</v>
      </c>
      <c r="M32" s="44">
        <v>6372914.3110662987</v>
      </c>
      <c r="N32" s="44">
        <v>64.234827596946431</v>
      </c>
      <c r="P32" s="50">
        <v>5</v>
      </c>
      <c r="Q32" s="50">
        <v>5</v>
      </c>
      <c r="R32" s="51">
        <v>2.5</v>
      </c>
      <c r="S32" s="43">
        <v>1.0017094017094017</v>
      </c>
      <c r="T32" s="54">
        <v>18801.982736958074</v>
      </c>
      <c r="U32" s="44">
        <v>5.327679616152364E-5</v>
      </c>
      <c r="V32" s="44">
        <v>5.327679616152364E-5</v>
      </c>
      <c r="W32" s="44">
        <v>2.6634850532005356E-4</v>
      </c>
      <c r="X32" s="44">
        <v>0.99973365149467996</v>
      </c>
      <c r="Y32" s="44">
        <v>99216.041238196689</v>
      </c>
      <c r="Z32" s="44">
        <v>26.426044287566484</v>
      </c>
      <c r="AA32" s="44">
        <v>496014.14108026453</v>
      </c>
      <c r="AB32" s="44">
        <v>7155144.3840262527</v>
      </c>
      <c r="AC32" s="44">
        <v>72.116809890129232</v>
      </c>
    </row>
    <row r="33" spans="1:29" ht="16.5" thickTop="1" thickBot="1">
      <c r="A33" s="50">
        <v>10</v>
      </c>
      <c r="B33" s="50">
        <v>5</v>
      </c>
      <c r="C33" s="51">
        <v>2.5</v>
      </c>
      <c r="D33" s="43">
        <v>3</v>
      </c>
      <c r="E33" s="52">
        <v>20716.810666497746</v>
      </c>
      <c r="F33" s="44">
        <v>1.448099347092774E-4</v>
      </c>
      <c r="G33" s="44">
        <v>1.448099347092774E-4</v>
      </c>
      <c r="H33" s="44">
        <v>7.2378764444254917E-4</v>
      </c>
      <c r="I33" s="44">
        <v>0.99927621235555741</v>
      </c>
      <c r="J33" s="44">
        <v>99084.169898484237</v>
      </c>
      <c r="K33" s="44">
        <v>71.715897932369245</v>
      </c>
      <c r="L33" s="44">
        <v>495241.55974759022</v>
      </c>
      <c r="M33" s="44">
        <v>5877171.9949972704</v>
      </c>
      <c r="N33" s="44">
        <v>59.314944062393337</v>
      </c>
      <c r="P33" s="50">
        <v>10</v>
      </c>
      <c r="Q33" s="50">
        <v>5</v>
      </c>
      <c r="R33" s="51">
        <v>2.5</v>
      </c>
      <c r="S33" s="43">
        <v>6.0102564102564102</v>
      </c>
      <c r="T33" s="54">
        <v>19781.403266335408</v>
      </c>
      <c r="U33" s="44">
        <v>3.0383367293688649E-4</v>
      </c>
      <c r="V33" s="44">
        <v>3.0383367293688649E-4</v>
      </c>
      <c r="W33" s="44">
        <v>1.5180153042707548E-3</v>
      </c>
      <c r="X33" s="44">
        <v>0.99848198469572924</v>
      </c>
      <c r="Y33" s="44">
        <v>99189.615193909121</v>
      </c>
      <c r="Z33" s="44">
        <v>150.57135388908105</v>
      </c>
      <c r="AA33" s="44">
        <v>495571.64758482284</v>
      </c>
      <c r="AB33" s="44">
        <v>6659130.2429459887</v>
      </c>
      <c r="AC33" s="44">
        <v>67.135357163427145</v>
      </c>
    </row>
    <row r="34" spans="1:29" ht="16.5" thickTop="1" thickBot="1">
      <c r="A34" s="50">
        <v>15</v>
      </c>
      <c r="B34" s="50">
        <v>5</v>
      </c>
      <c r="C34" s="51">
        <v>2.5</v>
      </c>
      <c r="D34" s="43">
        <v>26</v>
      </c>
      <c r="E34" s="52">
        <v>21518.665569446599</v>
      </c>
      <c r="F34" s="44">
        <v>1.2082533610688318E-3</v>
      </c>
      <c r="G34" s="44">
        <v>1.2082533610688318E-3</v>
      </c>
      <c r="H34" s="44">
        <v>6.0230733089204911E-3</v>
      </c>
      <c r="I34" s="44">
        <v>0.99397692669107951</v>
      </c>
      <c r="J34" s="44">
        <v>99012.454000551865</v>
      </c>
      <c r="K34" s="44">
        <v>596.35926894144188</v>
      </c>
      <c r="L34" s="44">
        <v>493571.37183040578</v>
      </c>
      <c r="M34" s="44">
        <v>5381930.4352496816</v>
      </c>
      <c r="N34" s="44">
        <v>54.35609580204612</v>
      </c>
      <c r="P34" s="50">
        <v>15</v>
      </c>
      <c r="Q34" s="50">
        <v>5</v>
      </c>
      <c r="R34" s="51">
        <v>2.5</v>
      </c>
      <c r="S34" s="43">
        <v>3.0051282051282051</v>
      </c>
      <c r="T34" s="54">
        <v>20597.41098638796</v>
      </c>
      <c r="U34" s="44">
        <v>1.4589834650161515E-4</v>
      </c>
      <c r="V34" s="44">
        <v>1.4589834650161515E-4</v>
      </c>
      <c r="W34" s="44">
        <v>7.2922575043004039E-4</v>
      </c>
      <c r="X34" s="44">
        <v>0.99927077424957</v>
      </c>
      <c r="Y34" s="44">
        <v>99039.043840020036</v>
      </c>
      <c r="Z34" s="44">
        <v>72.221821066112284</v>
      </c>
      <c r="AA34" s="44">
        <v>495014.6646474349</v>
      </c>
      <c r="AB34" s="44">
        <v>6163558.5953611657</v>
      </c>
      <c r="AC34" s="44">
        <v>62.233623795048935</v>
      </c>
    </row>
    <row r="35" spans="1:29" ht="16.5" thickTop="1" thickBot="1">
      <c r="A35" s="50">
        <v>20</v>
      </c>
      <c r="B35" s="50">
        <v>5</v>
      </c>
      <c r="C35" s="51">
        <v>2.5</v>
      </c>
      <c r="D35" s="43">
        <v>45</v>
      </c>
      <c r="E35" s="52">
        <v>21580.457897704706</v>
      </c>
      <c r="F35" s="44">
        <v>2.0852198879795871E-3</v>
      </c>
      <c r="G35" s="44">
        <v>2.0852198879795871E-3</v>
      </c>
      <c r="H35" s="44">
        <v>1.0372029534239168E-2</v>
      </c>
      <c r="I35" s="44">
        <v>0.98962797046576079</v>
      </c>
      <c r="J35" s="44">
        <v>98416.094731610428</v>
      </c>
      <c r="K35" s="44">
        <v>1020.7746412007432</v>
      </c>
      <c r="L35" s="44">
        <v>489528.5370550502</v>
      </c>
      <c r="M35" s="44">
        <v>4888359.0634192759</v>
      </c>
      <c r="N35" s="44">
        <v>49.670321472826899</v>
      </c>
      <c r="P35" s="50">
        <v>20</v>
      </c>
      <c r="Q35" s="50">
        <v>5</v>
      </c>
      <c r="R35" s="51">
        <v>2.5</v>
      </c>
      <c r="S35" s="43">
        <v>13.022222222222222</v>
      </c>
      <c r="T35" s="54">
        <v>21159.801111145924</v>
      </c>
      <c r="U35" s="44">
        <v>6.1542271374955253E-4</v>
      </c>
      <c r="V35" s="44">
        <v>6.1542271374955253E-4</v>
      </c>
      <c r="W35" s="44">
        <v>3.0723865276114869E-3</v>
      </c>
      <c r="X35" s="44">
        <v>0.99692761347238856</v>
      </c>
      <c r="Y35" s="44">
        <v>98966.822018953928</v>
      </c>
      <c r="Z35" s="44">
        <v>304.0643306515579</v>
      </c>
      <c r="AA35" s="44">
        <v>494073.94926814077</v>
      </c>
      <c r="AB35" s="44">
        <v>5668543.9307137309</v>
      </c>
      <c r="AC35" s="44">
        <v>57.277214879428001</v>
      </c>
    </row>
    <row r="36" spans="1:29" ht="16.5" thickTop="1" thickBot="1">
      <c r="A36" s="50">
        <v>25</v>
      </c>
      <c r="B36" s="50">
        <v>5</v>
      </c>
      <c r="C36" s="51">
        <v>2.5</v>
      </c>
      <c r="D36" s="43">
        <v>56</v>
      </c>
      <c r="E36" s="52">
        <v>20906.686456654719</v>
      </c>
      <c r="F36" s="44">
        <v>2.6785688930717607E-3</v>
      </c>
      <c r="G36" s="44">
        <v>2.6785688930717607E-3</v>
      </c>
      <c r="H36" s="44">
        <v>1.3303756891929527E-2</v>
      </c>
      <c r="I36" s="44">
        <v>0.98669624310807047</v>
      </c>
      <c r="J36" s="44">
        <v>97395.320090409674</v>
      </c>
      <c r="K36" s="44">
        <v>1295.72366089447</v>
      </c>
      <c r="L36" s="44">
        <v>483737.2912998122</v>
      </c>
      <c r="M36" s="44">
        <v>4398830.5263642259</v>
      </c>
      <c r="N36" s="44">
        <v>45.164701161009582</v>
      </c>
      <c r="P36" s="50">
        <v>25</v>
      </c>
      <c r="Q36" s="50">
        <v>5</v>
      </c>
      <c r="R36" s="51">
        <v>2.5</v>
      </c>
      <c r="S36" s="43">
        <v>8.0136752136752136</v>
      </c>
      <c r="T36" s="54">
        <v>21283.920679737646</v>
      </c>
      <c r="U36" s="44">
        <v>3.7651311214029545E-4</v>
      </c>
      <c r="V36" s="44">
        <v>3.7651311214029545E-4</v>
      </c>
      <c r="W36" s="44">
        <v>1.8807952005658183E-3</v>
      </c>
      <c r="X36" s="44">
        <v>0.99811920479943417</v>
      </c>
      <c r="Y36" s="44">
        <v>98662.757688302372</v>
      </c>
      <c r="Z36" s="44">
        <v>185.5644411347474</v>
      </c>
      <c r="AA36" s="44">
        <v>492849.87733867503</v>
      </c>
      <c r="AB36" s="44">
        <v>5174469.98144559</v>
      </c>
      <c r="AC36" s="44">
        <v>52.446030322737315</v>
      </c>
    </row>
    <row r="37" spans="1:29" ht="16.5" thickTop="1" thickBot="1">
      <c r="A37" s="50">
        <v>30</v>
      </c>
      <c r="B37" s="50">
        <v>5</v>
      </c>
      <c r="C37" s="51">
        <v>2.5</v>
      </c>
      <c r="D37" s="43">
        <v>66</v>
      </c>
      <c r="E37" s="52">
        <v>19565.13108791555</v>
      </c>
      <c r="F37" s="44">
        <v>3.3733482133817675E-3</v>
      </c>
      <c r="G37" s="44">
        <v>3.3733482133817675E-3</v>
      </c>
      <c r="H37" s="44">
        <v>1.6725687149748369E-2</v>
      </c>
      <c r="I37" s="44">
        <v>0.98327431285025169</v>
      </c>
      <c r="J37" s="44">
        <v>96099.596429515208</v>
      </c>
      <c r="K37" s="44">
        <v>1607.3317850971468</v>
      </c>
      <c r="L37" s="44">
        <v>476479.65268483321</v>
      </c>
      <c r="M37" s="44">
        <v>3915093.2350644129</v>
      </c>
      <c r="N37" s="44">
        <v>40.739955010487066</v>
      </c>
      <c r="P37" s="50">
        <v>30</v>
      </c>
      <c r="Q37" s="50">
        <v>5</v>
      </c>
      <c r="R37" s="51">
        <v>2.5</v>
      </c>
      <c r="S37" s="43">
        <v>17.029059829059829</v>
      </c>
      <c r="T37" s="54">
        <v>20667.9553050508</v>
      </c>
      <c r="U37" s="44">
        <v>8.2393539069141957E-4</v>
      </c>
      <c r="V37" s="44">
        <v>8.2393539069141957E-4</v>
      </c>
      <c r="W37" s="44">
        <v>4.1112085279453817E-3</v>
      </c>
      <c r="X37" s="44">
        <v>0.99588879147205467</v>
      </c>
      <c r="Y37" s="44">
        <v>98477.193247167626</v>
      </c>
      <c r="Z37" s="44">
        <v>404.86027668588088</v>
      </c>
      <c r="AA37" s="44">
        <v>491373.81554412341</v>
      </c>
      <c r="AB37" s="44">
        <v>4681620.1041069152</v>
      </c>
      <c r="AC37" s="44">
        <v>47.540145588395582</v>
      </c>
    </row>
    <row r="38" spans="1:29" ht="16.5" thickTop="1" thickBot="1">
      <c r="A38" s="50">
        <v>35</v>
      </c>
      <c r="B38" s="50">
        <v>5</v>
      </c>
      <c r="C38" s="51">
        <v>2.5</v>
      </c>
      <c r="D38" s="43">
        <v>82</v>
      </c>
      <c r="E38" s="52">
        <v>17913.406667613883</v>
      </c>
      <c r="F38" s="44">
        <v>4.5775770919246729E-3</v>
      </c>
      <c r="G38" s="44">
        <v>4.5775770919246729E-3</v>
      </c>
      <c r="H38" s="44">
        <v>2.2628921379321005E-2</v>
      </c>
      <c r="I38" s="44">
        <v>0.97737107862067896</v>
      </c>
      <c r="J38" s="44">
        <v>94492.264644418072</v>
      </c>
      <c r="K38" s="44">
        <v>2138.2580275925302</v>
      </c>
      <c r="L38" s="44">
        <v>467115.67815310904</v>
      </c>
      <c r="M38" s="44">
        <v>3438613.5823795795</v>
      </c>
      <c r="N38" s="44">
        <v>36.390424076715242</v>
      </c>
      <c r="P38" s="50">
        <v>35</v>
      </c>
      <c r="Q38" s="50">
        <v>5</v>
      </c>
      <c r="R38" s="51">
        <v>2.5</v>
      </c>
      <c r="S38" s="43">
        <v>22.037606837606837</v>
      </c>
      <c r="T38" s="54">
        <v>19640.128535523938</v>
      </c>
      <c r="U38" s="44">
        <v>1.1220703977444179E-3</v>
      </c>
      <c r="V38" s="44">
        <v>1.1220703977444179E-3</v>
      </c>
      <c r="W38" s="44">
        <v>5.594657988436268E-3</v>
      </c>
      <c r="X38" s="44">
        <v>0.99440534201156372</v>
      </c>
      <c r="Y38" s="44">
        <v>98072.332970481744</v>
      </c>
      <c r="Z38" s="44">
        <v>548.6811610978873</v>
      </c>
      <c r="AA38" s="44">
        <v>488989.96194966399</v>
      </c>
      <c r="AB38" s="44">
        <v>4190246.2885627924</v>
      </c>
      <c r="AC38" s="44">
        <v>42.726079431841306</v>
      </c>
    </row>
    <row r="39" spans="1:29" ht="16.5" thickTop="1" thickBot="1">
      <c r="A39" s="50">
        <v>40</v>
      </c>
      <c r="B39" s="50">
        <v>5</v>
      </c>
      <c r="C39" s="51">
        <v>2.5</v>
      </c>
      <c r="D39" s="43">
        <v>104</v>
      </c>
      <c r="E39" s="52">
        <v>16815.542634135632</v>
      </c>
      <c r="F39" s="44">
        <v>6.1847543229963629E-3</v>
      </c>
      <c r="G39" s="44">
        <v>6.1847543229963629E-3</v>
      </c>
      <c r="H39" s="44">
        <v>3.0452912164587415E-2</v>
      </c>
      <c r="I39" s="44">
        <v>0.96954708783541255</v>
      </c>
      <c r="J39" s="44">
        <v>92354.006616825543</v>
      </c>
      <c r="K39" s="44">
        <v>2812.4484515499134</v>
      </c>
      <c r="L39" s="44">
        <v>454738.91195525287</v>
      </c>
      <c r="M39" s="44">
        <v>2971497.9042264707</v>
      </c>
      <c r="N39" s="44">
        <v>32.175083822352626</v>
      </c>
      <c r="P39" s="50">
        <v>40</v>
      </c>
      <c r="Q39" s="50">
        <v>5</v>
      </c>
      <c r="R39" s="51">
        <v>2.5</v>
      </c>
      <c r="S39" s="43">
        <v>40.068376068376068</v>
      </c>
      <c r="T39" s="54">
        <v>19054.106919506925</v>
      </c>
      <c r="U39" s="44">
        <v>2.1028734769697062E-3</v>
      </c>
      <c r="V39" s="44">
        <v>2.1028734769697062E-3</v>
      </c>
      <c r="W39" s="44">
        <v>1.0459380500249759E-2</v>
      </c>
      <c r="X39" s="44">
        <v>0.98954061949975025</v>
      </c>
      <c r="Y39" s="44">
        <v>97523.651809383853</v>
      </c>
      <c r="Z39" s="44">
        <v>1020.0369820482166</v>
      </c>
      <c r="AA39" s="44">
        <v>485068.16659179871</v>
      </c>
      <c r="AB39" s="44">
        <v>3701256.3266131282</v>
      </c>
      <c r="AC39" s="44">
        <v>37.952396756506495</v>
      </c>
    </row>
    <row r="40" spans="1:29" ht="16.5" thickTop="1" thickBot="1">
      <c r="A40" s="50">
        <v>45</v>
      </c>
      <c r="B40" s="50">
        <v>5</v>
      </c>
      <c r="C40" s="51">
        <v>2.5</v>
      </c>
      <c r="D40" s="43">
        <v>133</v>
      </c>
      <c r="E40" s="52">
        <v>16701.315871530609</v>
      </c>
      <c r="F40" s="44">
        <v>7.9634443790572457E-3</v>
      </c>
      <c r="G40" s="44">
        <v>7.9634443790572457E-3</v>
      </c>
      <c r="H40" s="44">
        <v>3.9039989924479851E-2</v>
      </c>
      <c r="I40" s="44">
        <v>0.96096001007552012</v>
      </c>
      <c r="J40" s="44">
        <v>89541.558165275623</v>
      </c>
      <c r="K40" s="44">
        <v>3495.7015285945868</v>
      </c>
      <c r="L40" s="44">
        <v>438968.53700489161</v>
      </c>
      <c r="M40" s="44">
        <v>2516758.9922712171</v>
      </c>
      <c r="N40" s="44">
        <v>28.107161008140917</v>
      </c>
      <c r="P40" s="50">
        <v>45</v>
      </c>
      <c r="Q40" s="50">
        <v>5</v>
      </c>
      <c r="R40" s="51">
        <v>2.5</v>
      </c>
      <c r="S40" s="43">
        <v>61.104273504273507</v>
      </c>
      <c r="T40" s="54">
        <v>19240.774927434202</v>
      </c>
      <c r="U40" s="44">
        <v>3.1757698811365853E-3</v>
      </c>
      <c r="V40" s="44">
        <v>3.1757698811365853E-3</v>
      </c>
      <c r="W40" s="44">
        <v>1.575377350713739E-2</v>
      </c>
      <c r="X40" s="44">
        <v>0.98424622649286264</v>
      </c>
      <c r="Y40" s="44">
        <v>96503.614827335638</v>
      </c>
      <c r="Z40" s="44">
        <v>1520.2960906098713</v>
      </c>
      <c r="AA40" s="44">
        <v>478717.33391015348</v>
      </c>
      <c r="AB40" s="44">
        <v>3216188.1600213293</v>
      </c>
      <c r="AC40" s="44">
        <v>33.327126302737327</v>
      </c>
    </row>
    <row r="41" spans="1:29" ht="16.5" thickTop="1" thickBot="1">
      <c r="A41" s="50">
        <v>50</v>
      </c>
      <c r="B41" s="50">
        <v>5</v>
      </c>
      <c r="C41" s="51">
        <v>2.5</v>
      </c>
      <c r="D41" s="43">
        <v>161</v>
      </c>
      <c r="E41" s="52">
        <v>15884.21618186156</v>
      </c>
      <c r="F41" s="44">
        <v>1.0135847948471544E-2</v>
      </c>
      <c r="G41" s="44">
        <v>1.0135847948471544E-2</v>
      </c>
      <c r="H41" s="44">
        <v>4.9426783828683936E-2</v>
      </c>
      <c r="I41" s="44">
        <v>0.95057321617131607</v>
      </c>
      <c r="J41" s="44">
        <v>86045.856636681026</v>
      </c>
      <c r="K41" s="44">
        <v>4252.969955335162</v>
      </c>
      <c r="L41" s="44">
        <v>419596.85829506721</v>
      </c>
      <c r="M41" s="44">
        <v>2077790.4552663262</v>
      </c>
      <c r="N41" s="44">
        <v>24.147478292180452</v>
      </c>
      <c r="P41" s="50">
        <v>50</v>
      </c>
      <c r="Q41" s="50">
        <v>5</v>
      </c>
      <c r="R41" s="51">
        <v>2.5</v>
      </c>
      <c r="S41" s="43">
        <v>93.158974358974362</v>
      </c>
      <c r="T41" s="54">
        <v>18298.536876338076</v>
      </c>
      <c r="U41" s="44">
        <v>5.091061377668871E-3</v>
      </c>
      <c r="V41" s="44">
        <v>5.091061377668871E-3</v>
      </c>
      <c r="W41" s="44">
        <v>2.5135392325640295E-2</v>
      </c>
      <c r="X41" s="44">
        <v>0.97486460767435967</v>
      </c>
      <c r="Y41" s="44">
        <v>94983.318736725763</v>
      </c>
      <c r="Z41" s="44">
        <v>2387.4429808389427</v>
      </c>
      <c r="AA41" s="44">
        <v>468947.98623153148</v>
      </c>
      <c r="AB41" s="44">
        <v>2737470.8261111761</v>
      </c>
      <c r="AC41" s="44">
        <v>28.82054304397262</v>
      </c>
    </row>
    <row r="42" spans="1:29" ht="16.5" thickTop="1" thickBot="1">
      <c r="A42" s="50">
        <v>55</v>
      </c>
      <c r="B42" s="50">
        <v>5</v>
      </c>
      <c r="C42" s="51">
        <v>2.5</v>
      </c>
      <c r="D42" s="43">
        <v>256</v>
      </c>
      <c r="E42" s="52">
        <v>13806.694338496181</v>
      </c>
      <c r="F42" s="44">
        <v>1.8541730100174247E-2</v>
      </c>
      <c r="G42" s="44">
        <v>1.8541730100174247E-2</v>
      </c>
      <c r="H42" s="44">
        <v>8.8601583864703043E-2</v>
      </c>
      <c r="I42" s="44">
        <v>0.91139841613529693</v>
      </c>
      <c r="J42" s="44">
        <v>81792.886681345859</v>
      </c>
      <c r="K42" s="44">
        <v>7246.9793088334172</v>
      </c>
      <c r="L42" s="44">
        <v>390846.98513464571</v>
      </c>
      <c r="M42" s="44">
        <v>1658193.596971259</v>
      </c>
      <c r="N42" s="44">
        <v>20.27307831097048</v>
      </c>
      <c r="P42" s="50">
        <v>55</v>
      </c>
      <c r="Q42" s="50">
        <v>5</v>
      </c>
      <c r="R42" s="51">
        <v>2.5</v>
      </c>
      <c r="S42" s="43">
        <v>143.24444444444444</v>
      </c>
      <c r="T42" s="54">
        <v>15678.932109348585</v>
      </c>
      <c r="U42" s="44">
        <v>9.1361097455760227E-3</v>
      </c>
      <c r="V42" s="44">
        <v>9.1361097455760227E-3</v>
      </c>
      <c r="W42" s="44">
        <v>4.4660490863333346E-2</v>
      </c>
      <c r="X42" s="44">
        <v>0.95533950913666665</v>
      </c>
      <c r="Y42" s="44">
        <v>92595.875755886824</v>
      </c>
      <c r="Z42" s="44">
        <v>4135.377263178133</v>
      </c>
      <c r="AA42" s="44">
        <v>452640.93562148878</v>
      </c>
      <c r="AB42" s="44">
        <v>2268522.8398796441</v>
      </c>
      <c r="AC42" s="44">
        <v>24.499177974840006</v>
      </c>
    </row>
    <row r="43" spans="1:29" ht="16.5" thickTop="1" thickBot="1">
      <c r="A43" s="50">
        <v>60</v>
      </c>
      <c r="B43" s="50">
        <v>5</v>
      </c>
      <c r="C43" s="51">
        <v>2.5</v>
      </c>
      <c r="D43" s="43">
        <v>274</v>
      </c>
      <c r="E43" s="52">
        <v>11242.944743821075</v>
      </c>
      <c r="F43" s="44">
        <v>2.4370839334649008E-2</v>
      </c>
      <c r="G43" s="44">
        <v>2.4370839334649008E-2</v>
      </c>
      <c r="H43" s="44">
        <v>0.11485633354477841</v>
      </c>
      <c r="I43" s="44">
        <v>0.88514366645522158</v>
      </c>
      <c r="J43" s="44">
        <v>74545.907372512433</v>
      </c>
      <c r="K43" s="44">
        <v>8562.0696015754438</v>
      </c>
      <c r="L43" s="44">
        <v>351324.36285862356</v>
      </c>
      <c r="M43" s="44">
        <v>1267346.6118366132</v>
      </c>
      <c r="N43" s="44">
        <v>17.000887862341941</v>
      </c>
      <c r="P43" s="50">
        <v>60</v>
      </c>
      <c r="Q43" s="50">
        <v>5</v>
      </c>
      <c r="R43" s="51">
        <v>2.5</v>
      </c>
      <c r="S43" s="43">
        <v>184.31452991452991</v>
      </c>
      <c r="T43" s="54">
        <v>12732.033867304426</v>
      </c>
      <c r="U43" s="44">
        <v>1.4476440436421194E-2</v>
      </c>
      <c r="V43" s="44">
        <v>1.4476440436421194E-2</v>
      </c>
      <c r="W43" s="44">
        <v>6.9854105199216102E-2</v>
      </c>
      <c r="X43" s="44">
        <v>0.93014589480078391</v>
      </c>
      <c r="Y43" s="44">
        <v>88460.498492708692</v>
      </c>
      <c r="Z43" s="44">
        <v>6179.3289676847708</v>
      </c>
      <c r="AA43" s="44">
        <v>426854.17004433152</v>
      </c>
      <c r="AB43" s="44">
        <v>1815881.9042581553</v>
      </c>
      <c r="AC43" s="44">
        <v>20.527601982797197</v>
      </c>
    </row>
    <row r="44" spans="1:29" ht="16.5" thickTop="1" thickBot="1">
      <c r="A44" s="50">
        <v>65</v>
      </c>
      <c r="B44" s="50">
        <v>5</v>
      </c>
      <c r="C44" s="51">
        <v>2.5</v>
      </c>
      <c r="D44" s="43">
        <v>295</v>
      </c>
      <c r="E44" s="52">
        <v>8171.8368221910941</v>
      </c>
      <c r="F44" s="44">
        <v>3.6099595038279579E-2</v>
      </c>
      <c r="G44" s="44">
        <v>3.6099595038279579E-2</v>
      </c>
      <c r="H44" s="44">
        <v>0.16555665471375117</v>
      </c>
      <c r="I44" s="44">
        <v>0.83444334528624886</v>
      </c>
      <c r="J44" s="44">
        <v>65983.837770936982</v>
      </c>
      <c r="K44" s="44">
        <v>10924.063446531187</v>
      </c>
      <c r="L44" s="44">
        <v>302609.03023835697</v>
      </c>
      <c r="M44" s="44">
        <v>916022.24897798942</v>
      </c>
      <c r="N44" s="44">
        <v>13.882524568485428</v>
      </c>
      <c r="P44" s="50">
        <v>65</v>
      </c>
      <c r="Q44" s="50">
        <v>5</v>
      </c>
      <c r="R44" s="51">
        <v>2.5</v>
      </c>
      <c r="S44" s="43">
        <v>188.32136752136751</v>
      </c>
      <c r="T44" s="54">
        <v>9128.2048435385932</v>
      </c>
      <c r="U44" s="44">
        <v>2.0630712253863467E-2</v>
      </c>
      <c r="V44" s="44">
        <v>2.0630712253863467E-2</v>
      </c>
      <c r="W44" s="44">
        <v>9.8094179301925058E-2</v>
      </c>
      <c r="X44" s="44">
        <v>0.9019058206980749</v>
      </c>
      <c r="Y44" s="44">
        <v>82281.169525023928</v>
      </c>
      <c r="Z44" s="44">
        <v>8071.3037965597887</v>
      </c>
      <c r="AA44" s="44">
        <v>391227.58813372016</v>
      </c>
      <c r="AB44" s="44">
        <v>1389027.7342138237</v>
      </c>
      <c r="AC44" s="44">
        <v>16.881477769848455</v>
      </c>
    </row>
    <row r="45" spans="1:29" ht="16.5" thickTop="1" thickBot="1">
      <c r="A45" s="50">
        <v>70</v>
      </c>
      <c r="B45" s="50">
        <v>5</v>
      </c>
      <c r="C45" s="51">
        <v>2.5</v>
      </c>
      <c r="D45" s="43">
        <v>281</v>
      </c>
      <c r="E45" s="52">
        <v>5074.3489051020197</v>
      </c>
      <c r="F45" s="44">
        <v>5.5376562639882269E-2</v>
      </c>
      <c r="G45" s="44">
        <v>5.5376562639882269E-2</v>
      </c>
      <c r="H45" s="44">
        <v>0.24321217727524888</v>
      </c>
      <c r="I45" s="44">
        <v>0.75678782272475109</v>
      </c>
      <c r="J45" s="44">
        <v>55059.7743244058</v>
      </c>
      <c r="K45" s="44">
        <v>13391.20759372258</v>
      </c>
      <c r="L45" s="44">
        <v>241820.85263772254</v>
      </c>
      <c r="M45" s="44">
        <v>613413.21873963252</v>
      </c>
      <c r="N45" s="44">
        <v>11.140859661455803</v>
      </c>
      <c r="P45" s="50">
        <v>70</v>
      </c>
      <c r="Q45" s="50">
        <v>5</v>
      </c>
      <c r="R45" s="51">
        <v>2.5</v>
      </c>
      <c r="S45" s="43">
        <v>193.32991452991453</v>
      </c>
      <c r="T45" s="54">
        <v>5485.4793777911009</v>
      </c>
      <c r="U45" s="44">
        <v>3.5243941543676868E-2</v>
      </c>
      <c r="V45" s="44">
        <v>3.5243941543676868E-2</v>
      </c>
      <c r="W45" s="44">
        <v>0.16195029122600724</v>
      </c>
      <c r="X45" s="44">
        <v>0.83804970877399276</v>
      </c>
      <c r="Y45" s="44">
        <v>74209.865728464138</v>
      </c>
      <c r="Z45" s="44">
        <v>12018.309366567661</v>
      </c>
      <c r="AA45" s="44">
        <v>341003.55522590154</v>
      </c>
      <c r="AB45" s="44">
        <v>997800.1460801037</v>
      </c>
      <c r="AC45" s="44">
        <v>13.44565357025548</v>
      </c>
    </row>
    <row r="46" spans="1:29" ht="16.5" thickTop="1" thickBot="1">
      <c r="A46" s="50">
        <v>75</v>
      </c>
      <c r="B46" s="50">
        <v>5</v>
      </c>
      <c r="C46" s="51">
        <v>2.5</v>
      </c>
      <c r="D46" s="43">
        <v>200</v>
      </c>
      <c r="E46" s="52">
        <v>2685.0399611984221</v>
      </c>
      <c r="F46" s="44">
        <v>7.4486787120566125E-2</v>
      </c>
      <c r="G46" s="44">
        <v>7.4486787120566125E-2</v>
      </c>
      <c r="H46" s="44">
        <v>0.31396780328738289</v>
      </c>
      <c r="I46" s="44">
        <v>0.68603219671261706</v>
      </c>
      <c r="J46" s="44">
        <v>41668.566730683218</v>
      </c>
      <c r="K46" s="44">
        <v>13082.588362566335</v>
      </c>
      <c r="L46" s="44">
        <v>175636.36274700024</v>
      </c>
      <c r="M46" s="44">
        <v>371592.36610190995</v>
      </c>
      <c r="N46" s="44">
        <v>8.9178101206030398</v>
      </c>
      <c r="P46" s="50">
        <v>75</v>
      </c>
      <c r="Q46" s="50">
        <v>5</v>
      </c>
      <c r="R46" s="51">
        <v>2.5</v>
      </c>
      <c r="S46" s="43">
        <v>175.29914529914529</v>
      </c>
      <c r="T46" s="54">
        <v>3019.4268805425254</v>
      </c>
      <c r="U46" s="44">
        <v>5.8057092367028225E-2</v>
      </c>
      <c r="V46" s="44">
        <v>5.8057092367028225E-2</v>
      </c>
      <c r="W46" s="44">
        <v>0.25349282146038127</v>
      </c>
      <c r="X46" s="44">
        <v>0.74650717853961868</v>
      </c>
      <c r="Y46" s="44">
        <v>62191.556361896473</v>
      </c>
      <c r="Z46" s="44">
        <v>15765.113093189462</v>
      </c>
      <c r="AA46" s="44">
        <v>271544.99907650868</v>
      </c>
      <c r="AB46" s="44">
        <v>656796.59085420216</v>
      </c>
      <c r="AC46" s="44">
        <v>10.560864356445151</v>
      </c>
    </row>
    <row r="47" spans="1:29" ht="16.5" thickTop="1" thickBot="1">
      <c r="A47" s="50">
        <v>80</v>
      </c>
      <c r="B47" s="50">
        <v>5</v>
      </c>
      <c r="C47" s="51">
        <v>2.5</v>
      </c>
      <c r="D47" s="43">
        <v>143</v>
      </c>
      <c r="E47" s="52">
        <v>1409.0309275339387</v>
      </c>
      <c r="F47" s="44">
        <v>0.10148819107205553</v>
      </c>
      <c r="G47" s="44">
        <v>0.10148819107205553</v>
      </c>
      <c r="H47" s="44">
        <v>0.40474807933203499</v>
      </c>
      <c r="I47" s="44">
        <v>0.59525192066796495</v>
      </c>
      <c r="J47" s="44">
        <v>28585.978368116881</v>
      </c>
      <c r="K47" s="44">
        <v>11570.119840322408</v>
      </c>
      <c r="L47" s="44">
        <v>114004.5922397784</v>
      </c>
      <c r="M47" s="44">
        <v>195956.00335490968</v>
      </c>
      <c r="N47" s="44">
        <v>6.8549692730988516</v>
      </c>
      <c r="P47" s="50">
        <v>80</v>
      </c>
      <c r="Q47" s="50">
        <v>5</v>
      </c>
      <c r="R47" s="51">
        <v>2.5</v>
      </c>
      <c r="S47" s="43">
        <v>153.26153846153846</v>
      </c>
      <c r="T47" s="54">
        <v>1818.8316984240287</v>
      </c>
      <c r="U47" s="44">
        <v>8.4263727421473728E-2</v>
      </c>
      <c r="V47" s="44">
        <v>8.4263727421473728E-2</v>
      </c>
      <c r="W47" s="44">
        <v>0.34800759441615453</v>
      </c>
      <c r="X47" s="44">
        <v>0.65199240558384552</v>
      </c>
      <c r="Y47" s="44">
        <v>46426.443268707008</v>
      </c>
      <c r="Z47" s="44">
        <v>16156.754839240795</v>
      </c>
      <c r="AA47" s="44">
        <v>191740.32924543307</v>
      </c>
      <c r="AB47" s="44">
        <v>385251.59177769336</v>
      </c>
      <c r="AC47" s="44">
        <v>8.2981069548647923</v>
      </c>
    </row>
    <row r="48" spans="1:29" ht="16.5" thickTop="1" thickBot="1">
      <c r="A48" s="50">
        <v>85</v>
      </c>
      <c r="B48" s="50">
        <v>0</v>
      </c>
      <c r="C48" s="50">
        <v>0</v>
      </c>
      <c r="D48" s="43">
        <v>192</v>
      </c>
      <c r="E48" s="52">
        <v>924.70626200867173</v>
      </c>
      <c r="F48" s="44">
        <v>0.20763350253834387</v>
      </c>
      <c r="G48" s="44">
        <v>0.20763350253834387</v>
      </c>
      <c r="H48" s="44">
        <v>1</v>
      </c>
      <c r="I48" s="44">
        <v>0</v>
      </c>
      <c r="J48" s="44">
        <v>17015.858527794473</v>
      </c>
      <c r="K48" s="44">
        <v>17015.858527794473</v>
      </c>
      <c r="L48" s="55">
        <v>81951.411115131283</v>
      </c>
      <c r="M48" s="44">
        <v>81951.411115131283</v>
      </c>
      <c r="N48" s="44">
        <v>4.8161784479618319</v>
      </c>
      <c r="P48" s="50">
        <v>85</v>
      </c>
      <c r="Q48" s="50">
        <v>0</v>
      </c>
      <c r="R48" s="50">
        <v>0</v>
      </c>
      <c r="S48" s="43">
        <v>257.43931623931621</v>
      </c>
      <c r="T48" s="54">
        <v>1645.7852622763319</v>
      </c>
      <c r="U48" s="56">
        <v>0.15642339382918319</v>
      </c>
      <c r="V48" s="44">
        <v>0.15642339382918319</v>
      </c>
      <c r="W48" s="44">
        <v>1</v>
      </c>
      <c r="X48" s="44">
        <v>0</v>
      </c>
      <c r="Y48" s="44">
        <v>30269.688429466216</v>
      </c>
      <c r="Z48" s="44">
        <v>30269.688429466216</v>
      </c>
      <c r="AA48" s="55">
        <v>193511.26253226033</v>
      </c>
      <c r="AB48" s="44">
        <v>193511.26253226033</v>
      </c>
      <c r="AC48" s="44">
        <v>6.3929056614895838</v>
      </c>
    </row>
    <row r="49" ht="15.75" thickTop="1"/>
  </sheetData>
  <mergeCells count="4">
    <mergeCell ref="A2:N2"/>
    <mergeCell ref="P2:AC2"/>
    <mergeCell ref="A27:N27"/>
    <mergeCell ref="P27:AC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1"/>
  <sheetViews>
    <sheetView tabSelected="1" topLeftCell="N16" zoomScale="80" zoomScaleNormal="80" workbookViewId="0">
      <selection activeCell="AA35" sqref="AA35"/>
    </sheetView>
  </sheetViews>
  <sheetFormatPr baseColWidth="10" defaultRowHeight="15"/>
  <cols>
    <col min="2" max="2" width="21.140625" customWidth="1"/>
    <col min="3" max="3" width="24.85546875" customWidth="1"/>
    <col min="4" max="4" width="27.5703125" customWidth="1"/>
    <col min="15" max="15" width="16.42578125" customWidth="1"/>
    <col min="16" max="16" width="13.28515625" customWidth="1"/>
    <col min="17" max="17" width="12.7109375" customWidth="1"/>
    <col min="20" max="20" width="16.42578125" customWidth="1"/>
    <col min="23" max="23" width="18.42578125" customWidth="1"/>
    <col min="24" max="24" width="16.140625" customWidth="1"/>
    <col min="25" max="25" width="13.7109375" customWidth="1"/>
    <col min="28" max="28" width="14.140625" customWidth="1"/>
    <col min="29" max="29" width="15.28515625" customWidth="1"/>
    <col min="31" max="31" width="22.28515625" customWidth="1"/>
    <col min="32" max="32" width="20.140625" customWidth="1"/>
    <col min="33" max="33" width="31" customWidth="1"/>
    <col min="35" max="35" width="14.85546875" customWidth="1"/>
    <col min="36" max="36" width="23.5703125" customWidth="1"/>
    <col min="37" max="37" width="22" customWidth="1"/>
    <col min="39" max="39" width="27.140625" customWidth="1"/>
    <col min="54" max="54" width="25.42578125" customWidth="1"/>
    <col min="55" max="55" width="25" customWidth="1"/>
    <col min="57" max="57" width="29.7109375" customWidth="1"/>
  </cols>
  <sheetData>
    <row r="1" spans="1:57" ht="20.25">
      <c r="A1" s="216" t="s">
        <v>53</v>
      </c>
      <c r="B1" s="217"/>
      <c r="C1" s="217"/>
      <c r="D1" s="218"/>
      <c r="F1" s="186" t="s">
        <v>57</v>
      </c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8"/>
      <c r="S1" s="186" t="s">
        <v>79</v>
      </c>
      <c r="T1" s="187"/>
      <c r="U1" s="187"/>
      <c r="V1" s="187"/>
      <c r="W1" s="187"/>
      <c r="X1" s="187"/>
      <c r="Y1" s="187"/>
      <c r="Z1" s="187"/>
      <c r="AA1" s="187"/>
      <c r="AB1" s="187"/>
      <c r="AC1" s="188"/>
      <c r="AE1" s="186" t="s">
        <v>81</v>
      </c>
      <c r="AF1" s="187"/>
      <c r="AG1" s="188"/>
      <c r="AI1" s="190" t="s">
        <v>83</v>
      </c>
      <c r="AJ1" s="191"/>
      <c r="AK1" s="191"/>
      <c r="AL1" s="191"/>
      <c r="AM1" s="192"/>
      <c r="AO1" s="193" t="s">
        <v>83</v>
      </c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5"/>
    </row>
    <row r="2" spans="1:57">
      <c r="A2" s="57"/>
      <c r="D2" s="58"/>
      <c r="F2" s="57"/>
      <c r="Q2" s="58"/>
      <c r="S2" s="57"/>
      <c r="AC2" s="58"/>
      <c r="AE2" s="57"/>
      <c r="AG2" s="58"/>
      <c r="AI2" s="57"/>
      <c r="AM2" s="58"/>
      <c r="AO2" s="57"/>
    </row>
    <row r="3" spans="1:57">
      <c r="A3" s="57"/>
      <c r="D3" s="58"/>
      <c r="F3" s="57"/>
      <c r="Q3" s="58"/>
      <c r="S3" s="57"/>
      <c r="AC3" s="58"/>
      <c r="AE3" s="57"/>
      <c r="AG3" s="58"/>
      <c r="AI3" s="57"/>
      <c r="AM3" s="58"/>
      <c r="AO3" s="57"/>
    </row>
    <row r="4" spans="1:57" ht="30" customHeight="1">
      <c r="A4" s="57"/>
      <c r="D4" s="58"/>
      <c r="F4" s="57"/>
      <c r="Q4" s="58"/>
      <c r="S4" s="57"/>
      <c r="AC4" s="58"/>
      <c r="AE4" s="57"/>
      <c r="AG4" s="58"/>
      <c r="AI4" s="57"/>
      <c r="AM4" s="58"/>
      <c r="AO4" s="57"/>
    </row>
    <row r="5" spans="1:57" ht="42.75" customHeight="1">
      <c r="A5" s="57"/>
      <c r="D5" s="58"/>
      <c r="F5" s="219">
        <v>2010</v>
      </c>
      <c r="G5" s="220"/>
      <c r="H5" s="221"/>
      <c r="J5" s="222">
        <v>2020</v>
      </c>
      <c r="K5" s="223"/>
      <c r="L5" s="224"/>
      <c r="N5" s="131" t="s">
        <v>54</v>
      </c>
      <c r="O5" s="128" t="s">
        <v>58</v>
      </c>
      <c r="P5" s="129" t="s">
        <v>56</v>
      </c>
      <c r="Q5" s="130" t="s">
        <v>57</v>
      </c>
      <c r="S5" s="207">
        <v>2010</v>
      </c>
      <c r="T5" s="208"/>
      <c r="U5" s="208"/>
      <c r="V5" s="208"/>
      <c r="W5" s="208"/>
      <c r="Y5" s="208">
        <v>2020</v>
      </c>
      <c r="Z5" s="208"/>
      <c r="AA5" s="208"/>
      <c r="AB5" s="208"/>
      <c r="AC5" s="209"/>
      <c r="AE5" s="57"/>
      <c r="AG5" s="58"/>
      <c r="AI5" s="134" t="s">
        <v>54</v>
      </c>
      <c r="AJ5" s="135" t="s">
        <v>84</v>
      </c>
      <c r="AK5" s="135" t="s">
        <v>56</v>
      </c>
      <c r="AL5" s="135" t="s">
        <v>85</v>
      </c>
      <c r="AM5" s="136" t="s">
        <v>83</v>
      </c>
      <c r="AO5" s="196">
        <v>2010</v>
      </c>
      <c r="AP5" s="197"/>
      <c r="AQ5" s="197"/>
      <c r="AR5" s="197"/>
      <c r="AS5" s="197"/>
      <c r="AU5" s="198">
        <v>2020</v>
      </c>
      <c r="AV5" s="198"/>
      <c r="AW5" s="198"/>
      <c r="AX5" s="198"/>
      <c r="AY5" s="198"/>
      <c r="BA5" s="137" t="s">
        <v>54</v>
      </c>
      <c r="BB5" s="138" t="s">
        <v>84</v>
      </c>
      <c r="BC5" s="138" t="s">
        <v>56</v>
      </c>
      <c r="BD5" s="138" t="s">
        <v>86</v>
      </c>
      <c r="BE5" s="139" t="s">
        <v>83</v>
      </c>
    </row>
    <row r="6" spans="1:57" ht="31.5" customHeight="1">
      <c r="A6" s="64" t="s">
        <v>54</v>
      </c>
      <c r="B6" s="65" t="s">
        <v>55</v>
      </c>
      <c r="C6" s="65" t="s">
        <v>56</v>
      </c>
      <c r="D6" s="66" t="s">
        <v>53</v>
      </c>
      <c r="F6" s="67" t="s">
        <v>20</v>
      </c>
      <c r="G6" s="68" t="s">
        <v>59</v>
      </c>
      <c r="H6" s="68" t="s">
        <v>29</v>
      </c>
      <c r="J6" s="71" t="s">
        <v>20</v>
      </c>
      <c r="K6" s="71" t="s">
        <v>59</v>
      </c>
      <c r="L6" s="71" t="s">
        <v>29</v>
      </c>
      <c r="N6" s="132">
        <v>2010</v>
      </c>
      <c r="O6" s="59">
        <f>SUM(H11:H17)</f>
        <v>143475.01386657628</v>
      </c>
      <c r="P6" s="59">
        <f>Nacimientos!C60</f>
        <v>2990.333333333333</v>
      </c>
      <c r="Q6" s="60">
        <f>(P6/O6)*1000</f>
        <v>20.84218884351651</v>
      </c>
      <c r="S6" s="79" t="s">
        <v>20</v>
      </c>
      <c r="T6" s="80" t="s">
        <v>59</v>
      </c>
      <c r="U6" s="80" t="s">
        <v>29</v>
      </c>
      <c r="V6" s="80" t="s">
        <v>80</v>
      </c>
      <c r="W6" s="81" t="s">
        <v>79</v>
      </c>
      <c r="Y6" s="82" t="s">
        <v>20</v>
      </c>
      <c r="Z6" s="82" t="s">
        <v>59</v>
      </c>
      <c r="AA6" s="82" t="s">
        <v>29</v>
      </c>
      <c r="AB6" s="82" t="s">
        <v>80</v>
      </c>
      <c r="AC6" s="83" t="s">
        <v>79</v>
      </c>
      <c r="AE6" s="134" t="s">
        <v>54</v>
      </c>
      <c r="AF6" s="135" t="s">
        <v>82</v>
      </c>
      <c r="AG6" s="136" t="s">
        <v>81</v>
      </c>
      <c r="AI6" s="92">
        <v>2010</v>
      </c>
      <c r="AJ6" s="59">
        <f>Nacimientos!D59</f>
        <v>1482.6666666666665</v>
      </c>
      <c r="AK6" s="59">
        <f>Nacimientos!C60</f>
        <v>2990.333333333333</v>
      </c>
      <c r="AL6" s="69">
        <f>AG7</f>
        <v>0.53302410779151754</v>
      </c>
      <c r="AM6" s="90">
        <f>(AJ6/AK6)*AL6</f>
        <v>0.26428394063723887</v>
      </c>
      <c r="AO6" s="93" t="s">
        <v>37</v>
      </c>
      <c r="AP6" s="94" t="s">
        <v>48</v>
      </c>
      <c r="AQ6" s="94" t="s">
        <v>87</v>
      </c>
      <c r="AR6" s="94" t="s">
        <v>82</v>
      </c>
      <c r="AS6" s="94" t="s">
        <v>88</v>
      </c>
      <c r="AU6" s="80" t="s">
        <v>37</v>
      </c>
      <c r="AV6" s="80" t="s">
        <v>48</v>
      </c>
      <c r="AW6" s="80" t="s">
        <v>87</v>
      </c>
      <c r="AX6" s="80" t="s">
        <v>82</v>
      </c>
      <c r="AY6" s="80" t="s">
        <v>88</v>
      </c>
      <c r="BA6" s="95">
        <v>2010</v>
      </c>
      <c r="BB6" s="59">
        <f>Nacimientos!D59</f>
        <v>1482.6666666666665</v>
      </c>
      <c r="BC6" s="59">
        <f>Nacimientos!C60</f>
        <v>2990.333333333333</v>
      </c>
      <c r="BD6" s="69">
        <f>BB6/BC6</f>
        <v>0.49581986400624234</v>
      </c>
      <c r="BE6" s="90">
        <f>5*BD6*AS26</f>
        <v>0.26103463792807663</v>
      </c>
    </row>
    <row r="7" spans="1:57">
      <c r="A7" s="64">
        <v>2010</v>
      </c>
      <c r="B7" s="59">
        <f>Poblacion!F24</f>
        <v>487646.46540479001</v>
      </c>
      <c r="C7" s="59">
        <f>Nacimientos!C60</f>
        <v>2990.333333333333</v>
      </c>
      <c r="D7" s="60">
        <f>(C7/B7)*1000</f>
        <v>6.1321747320594024</v>
      </c>
      <c r="F7" s="210">
        <v>0</v>
      </c>
      <c r="G7" s="211"/>
      <c r="H7" s="59">
        <f>Poblacion!E5</f>
        <v>3864.5627041459138</v>
      </c>
      <c r="J7" s="212">
        <v>0</v>
      </c>
      <c r="K7" s="211"/>
      <c r="L7" s="74">
        <f>Poblacion!M5</f>
        <v>3052.8768821105159</v>
      </c>
      <c r="N7" s="132">
        <v>2020</v>
      </c>
      <c r="O7" s="59">
        <f>SUM(L11:L17)</f>
        <v>141644.09846478738</v>
      </c>
      <c r="P7" s="59">
        <f>Nacimientos!E60</f>
        <v>5358</v>
      </c>
      <c r="Q7" s="60">
        <f>(P7/O7)*1000</f>
        <v>37.827202531364165</v>
      </c>
      <c r="S7" s="199" t="s">
        <v>63</v>
      </c>
      <c r="T7" s="198"/>
      <c r="U7" s="85">
        <f>H11</f>
        <v>23208.308230709263</v>
      </c>
      <c r="V7" s="59">
        <f t="shared" ref="V7:V13" si="0">W20+X20</f>
        <v>910.81836862093655</v>
      </c>
      <c r="W7" s="71">
        <f>V7/U7</f>
        <v>3.9245358152204327E-2</v>
      </c>
      <c r="Y7" s="200" t="s">
        <v>63</v>
      </c>
      <c r="Z7" s="200"/>
      <c r="AA7" s="86">
        <f>L11</f>
        <v>20597.41098638796</v>
      </c>
      <c r="AB7" s="78" t="e">
        <f>Y20+Z20</f>
        <v>#VALUE!</v>
      </c>
      <c r="AC7" s="84" t="e">
        <f>AB7/AA7</f>
        <v>#VALUE!</v>
      </c>
      <c r="AE7" s="87">
        <v>2010</v>
      </c>
      <c r="AF7" s="88">
        <f>SUM(W7:W13)</f>
        <v>0.1066048215583035</v>
      </c>
      <c r="AG7" s="89">
        <f>5*AF7</f>
        <v>0.53302410779151754</v>
      </c>
      <c r="AI7" s="92">
        <v>2020</v>
      </c>
      <c r="AJ7" s="59">
        <f>Nacimientos!F59</f>
        <v>2638.5</v>
      </c>
      <c r="AK7" s="59">
        <f>Nacimientos!E60</f>
        <v>5358</v>
      </c>
      <c r="AL7" s="69" t="e">
        <f>AG8</f>
        <v>#VALUE!</v>
      </c>
      <c r="AM7" s="90" t="e">
        <f>(AJ7/AK7)*AL7</f>
        <v>#VALUE!</v>
      </c>
      <c r="AO7" s="96">
        <v>0</v>
      </c>
      <c r="AP7" s="69">
        <f>'Tablas de vida'!AA5</f>
        <v>99561.171572654057</v>
      </c>
      <c r="AQ7" s="69">
        <f>AP7/(5*100000)</f>
        <v>0.19912234314530811</v>
      </c>
      <c r="AR7" s="69"/>
      <c r="AS7" s="69"/>
      <c r="AU7" s="69">
        <v>0</v>
      </c>
      <c r="AV7" s="69">
        <f>'Tablas de vida'!AA30</f>
        <v>99621.784807818607</v>
      </c>
      <c r="AW7" s="69">
        <f>AV7/(5*100000)</f>
        <v>0.19924356961563722</v>
      </c>
      <c r="AX7" s="69"/>
      <c r="AY7" s="69"/>
      <c r="BA7" s="95">
        <v>2020</v>
      </c>
      <c r="BB7" s="59">
        <f>Nacimientos!F59</f>
        <v>2638.5</v>
      </c>
      <c r="BC7" s="59">
        <f>Nacimientos!E60</f>
        <v>5358</v>
      </c>
      <c r="BD7" s="69">
        <f>BB7/BC7</f>
        <v>0.49244120940649494</v>
      </c>
      <c r="BE7" s="90" t="e">
        <f>5*BD7*AY26</f>
        <v>#VALUE!</v>
      </c>
    </row>
    <row r="8" spans="1:57" ht="15.75" thickBot="1">
      <c r="A8" s="64">
        <v>2020</v>
      </c>
      <c r="B8" s="59">
        <f>Poblacion!N24</f>
        <v>517746.66534080217</v>
      </c>
      <c r="C8" s="59">
        <f>Nacimientos!E60</f>
        <v>5358</v>
      </c>
      <c r="D8" s="60">
        <f>(C8/B8)*1000</f>
        <v>10.348690505757567</v>
      </c>
      <c r="F8" s="210" t="s">
        <v>60</v>
      </c>
      <c r="G8" s="211"/>
      <c r="H8" s="59">
        <f>Poblacion!E6</f>
        <v>17457.318792316153</v>
      </c>
      <c r="J8" s="212" t="s">
        <v>60</v>
      </c>
      <c r="K8" s="211"/>
      <c r="L8" s="74">
        <f>Poblacion!M6</f>
        <v>14443.194734707715</v>
      </c>
      <c r="Q8" s="58"/>
      <c r="S8" s="199" t="s">
        <v>64</v>
      </c>
      <c r="T8" s="198"/>
      <c r="U8" s="85">
        <f t="shared" ref="U8:U13" si="1">H12</f>
        <v>23019.882440906371</v>
      </c>
      <c r="V8" s="59">
        <f t="shared" si="0"/>
        <v>763.63861914656343</v>
      </c>
      <c r="W8" s="71">
        <f t="shared" ref="W8:W12" si="2">V8/U8</f>
        <v>3.3173002560151058E-2</v>
      </c>
      <c r="Y8" s="200" t="s">
        <v>64</v>
      </c>
      <c r="Z8" s="200"/>
      <c r="AA8" s="86">
        <f t="shared" ref="AA8:AA13" si="3">L12</f>
        <v>21159.801111145924</v>
      </c>
      <c r="AB8" s="78" t="e">
        <f t="shared" ref="AB8:AB13" si="4">Y21+Z21</f>
        <v>#VALUE!</v>
      </c>
      <c r="AC8" s="84" t="e">
        <f t="shared" ref="AC8:AC12" si="5">AB8/AA8</f>
        <v>#VALUE!</v>
      </c>
      <c r="AE8" s="87">
        <v>2020</v>
      </c>
      <c r="AF8" s="88" t="e">
        <f>SUM(AC7:AC13)</f>
        <v>#VALUE!</v>
      </c>
      <c r="AG8" s="89" t="e">
        <f>5*AF8</f>
        <v>#VALUE!</v>
      </c>
      <c r="AI8" s="61"/>
      <c r="AJ8" s="62"/>
      <c r="AK8" s="62"/>
      <c r="AL8" s="62"/>
      <c r="AM8" s="63"/>
      <c r="AO8" s="96">
        <v>1</v>
      </c>
      <c r="AP8" s="69">
        <f>'Tablas de vida'!AA6</f>
        <v>396443.70911174943</v>
      </c>
      <c r="AQ8" s="69">
        <f t="shared" ref="AQ8:AQ24" si="6">AP8/(5*100000)</f>
        <v>0.79288741822349884</v>
      </c>
      <c r="AR8" s="69"/>
      <c r="AS8" s="69"/>
      <c r="AU8" s="69">
        <v>1</v>
      </c>
      <c r="AV8" s="69">
        <f>'Tablas de vida'!AA31</f>
        <v>396919.22170766775</v>
      </c>
      <c r="AW8" s="69">
        <f t="shared" ref="AW8:AW24" si="7">AV8/(5*100000)</f>
        <v>0.79383844341533549</v>
      </c>
      <c r="AX8" s="69"/>
      <c r="AY8" s="69"/>
    </row>
    <row r="9" spans="1:57" ht="15.75" thickBot="1">
      <c r="A9" s="61"/>
      <c r="B9" s="62"/>
      <c r="C9" s="62"/>
      <c r="D9" s="63"/>
      <c r="F9" s="210" t="s">
        <v>61</v>
      </c>
      <c r="G9" s="211"/>
      <c r="H9" s="59">
        <f>Poblacion!E7</f>
        <v>22393.196309981347</v>
      </c>
      <c r="J9" s="212" t="s">
        <v>61</v>
      </c>
      <c r="K9" s="211"/>
      <c r="L9" s="74">
        <f>Poblacion!M7</f>
        <v>18801.982736958074</v>
      </c>
      <c r="Q9" s="58"/>
      <c r="S9" s="199" t="s">
        <v>65</v>
      </c>
      <c r="T9" s="198"/>
      <c r="U9" s="85">
        <f t="shared" si="1"/>
        <v>21174.039426968884</v>
      </c>
      <c r="V9" s="59">
        <f t="shared" si="0"/>
        <v>440.67009530223106</v>
      </c>
      <c r="W9" s="71">
        <f t="shared" si="2"/>
        <v>2.0811810463569825E-2</v>
      </c>
      <c r="Y9" s="200" t="s">
        <v>65</v>
      </c>
      <c r="Z9" s="200"/>
      <c r="AA9" s="86">
        <f t="shared" si="3"/>
        <v>21283.920679737646</v>
      </c>
      <c r="AB9" s="78" t="e">
        <f t="shared" si="4"/>
        <v>#VALUE!</v>
      </c>
      <c r="AC9" s="84" t="e">
        <f t="shared" si="5"/>
        <v>#VALUE!</v>
      </c>
      <c r="AE9" s="61"/>
      <c r="AF9" s="62"/>
      <c r="AG9" s="63"/>
      <c r="AO9" s="96">
        <v>5</v>
      </c>
      <c r="AP9" s="69">
        <f>'Tablas de vida'!AA7</f>
        <v>495386.34986085229</v>
      </c>
      <c r="AQ9" s="69">
        <f t="shared" si="6"/>
        <v>0.99077269972170456</v>
      </c>
      <c r="AR9" s="69"/>
      <c r="AS9" s="69"/>
      <c r="AU9" s="69">
        <v>5</v>
      </c>
      <c r="AV9" s="69">
        <f>'Tablas de vida'!AA32</f>
        <v>496014.14108026453</v>
      </c>
      <c r="AW9" s="69">
        <f t="shared" si="7"/>
        <v>0.99202828216052907</v>
      </c>
      <c r="AX9" s="69"/>
      <c r="AY9" s="69"/>
    </row>
    <row r="10" spans="1:57">
      <c r="F10" s="210" t="s">
        <v>62</v>
      </c>
      <c r="G10" s="211"/>
      <c r="H10" s="59">
        <f>Poblacion!E8</f>
        <v>22310.888876533452</v>
      </c>
      <c r="J10" s="212" t="s">
        <v>62</v>
      </c>
      <c r="K10" s="211"/>
      <c r="L10" s="74">
        <f>Poblacion!M8</f>
        <v>19781.403266335408</v>
      </c>
      <c r="Q10" s="58"/>
      <c r="S10" s="199" t="s">
        <v>66</v>
      </c>
      <c r="T10" s="198"/>
      <c r="U10" s="85">
        <f t="shared" si="1"/>
        <v>20298.270443908823</v>
      </c>
      <c r="V10" s="59">
        <f t="shared" si="0"/>
        <v>226.35278529496799</v>
      </c>
      <c r="W10" s="71">
        <f t="shared" si="2"/>
        <v>1.1151333603543189E-2</v>
      </c>
      <c r="Y10" s="200" t="s">
        <v>66</v>
      </c>
      <c r="Z10" s="200"/>
      <c r="AA10" s="86">
        <f t="shared" si="3"/>
        <v>20667.9553050508</v>
      </c>
      <c r="AB10" s="78" t="e">
        <f t="shared" si="4"/>
        <v>#VALUE!</v>
      </c>
      <c r="AC10" s="84" t="e">
        <f t="shared" si="5"/>
        <v>#VALUE!</v>
      </c>
      <c r="AO10" s="96">
        <v>10</v>
      </c>
      <c r="AP10" s="69">
        <f>'Tablas de vida'!AA8</f>
        <v>495052.05841372674</v>
      </c>
      <c r="AQ10" s="69">
        <f t="shared" si="6"/>
        <v>0.99010411682745347</v>
      </c>
      <c r="AR10" s="69"/>
      <c r="AS10" s="69"/>
      <c r="AU10" s="69">
        <v>10</v>
      </c>
      <c r="AV10" s="69">
        <f>'Tablas de vida'!AA33</f>
        <v>495571.64758482284</v>
      </c>
      <c r="AW10" s="69">
        <f t="shared" si="7"/>
        <v>0.99114329516964572</v>
      </c>
      <c r="AX10" s="69"/>
      <c r="AY10" s="69"/>
    </row>
    <row r="11" spans="1:57">
      <c r="F11" s="213" t="s">
        <v>63</v>
      </c>
      <c r="G11" s="214"/>
      <c r="H11" s="72">
        <f>Poblacion!E9</f>
        <v>23208.308230709263</v>
      </c>
      <c r="J11" s="215" t="s">
        <v>63</v>
      </c>
      <c r="K11" s="214"/>
      <c r="L11" s="75">
        <f>Poblacion!M9</f>
        <v>20597.41098638796</v>
      </c>
      <c r="Q11" s="58"/>
      <c r="S11" s="199" t="s">
        <v>67</v>
      </c>
      <c r="T11" s="198"/>
      <c r="U11" s="85">
        <f t="shared" si="1"/>
        <v>20433.987261411952</v>
      </c>
      <c r="V11" s="59">
        <f t="shared" si="0"/>
        <v>42.133119304693473</v>
      </c>
      <c r="W11" s="71">
        <f t="shared" si="2"/>
        <v>2.0619137501499134E-3</v>
      </c>
      <c r="Y11" s="200" t="s">
        <v>67</v>
      </c>
      <c r="Z11" s="200"/>
      <c r="AA11" s="86">
        <f t="shared" si="3"/>
        <v>19640.128535523938</v>
      </c>
      <c r="AB11" s="78" t="e">
        <f t="shared" si="4"/>
        <v>#VALUE!</v>
      </c>
      <c r="AC11" s="84" t="e">
        <f t="shared" si="5"/>
        <v>#VALUE!</v>
      </c>
      <c r="AE11" s="189"/>
      <c r="AF11" s="189"/>
      <c r="AO11" s="91">
        <v>15</v>
      </c>
      <c r="AP11" s="70">
        <f>'Tablas de vida'!AA9</f>
        <v>494668.25533572893</v>
      </c>
      <c r="AQ11" s="70">
        <f t="shared" si="6"/>
        <v>0.98933651067145789</v>
      </c>
      <c r="AR11" s="70">
        <f>W7</f>
        <v>3.9245358152204327E-2</v>
      </c>
      <c r="AS11" s="70">
        <f>AQ11*AR11</f>
        <v>3.882686569435348E-2</v>
      </c>
      <c r="AU11" s="70">
        <v>15</v>
      </c>
      <c r="AV11" s="70">
        <f>'Tablas de vida'!AA34</f>
        <v>495014.6646474349</v>
      </c>
      <c r="AW11" s="70">
        <f t="shared" si="7"/>
        <v>0.99002932929486975</v>
      </c>
      <c r="AX11" s="70" t="e">
        <f>AC7</f>
        <v>#VALUE!</v>
      </c>
      <c r="AY11" s="70" t="e">
        <f>AW11*AX11</f>
        <v>#VALUE!</v>
      </c>
    </row>
    <row r="12" spans="1:57">
      <c r="F12" s="213" t="s">
        <v>64</v>
      </c>
      <c r="G12" s="214"/>
      <c r="H12" s="72">
        <f>Poblacion!E10</f>
        <v>23019.882440906371</v>
      </c>
      <c r="J12" s="215" t="s">
        <v>64</v>
      </c>
      <c r="K12" s="214"/>
      <c r="L12" s="75">
        <f>Poblacion!M10</f>
        <v>21159.801111145924</v>
      </c>
      <c r="Q12" s="58"/>
      <c r="S12" s="199" t="s">
        <v>68</v>
      </c>
      <c r="T12" s="198"/>
      <c r="U12" s="85">
        <f t="shared" si="1"/>
        <v>18998.33357305931</v>
      </c>
      <c r="V12" s="59">
        <f t="shared" si="0"/>
        <v>3.0663885786635365</v>
      </c>
      <c r="W12" s="71">
        <f t="shared" si="2"/>
        <v>1.6140302868520245E-4</v>
      </c>
      <c r="Y12" s="200" t="s">
        <v>68</v>
      </c>
      <c r="Z12" s="200"/>
      <c r="AA12" s="86">
        <f t="shared" si="3"/>
        <v>19054.106919506925</v>
      </c>
      <c r="AB12" s="78" t="e">
        <f t="shared" si="4"/>
        <v>#VALUE!</v>
      </c>
      <c r="AC12" s="84" t="e">
        <f t="shared" si="5"/>
        <v>#VALUE!</v>
      </c>
      <c r="AO12" s="91">
        <v>20</v>
      </c>
      <c r="AP12" s="70">
        <f>'Tablas de vida'!AA10</f>
        <v>493968.18635665142</v>
      </c>
      <c r="AQ12" s="70">
        <f t="shared" si="6"/>
        <v>0.98793637271330281</v>
      </c>
      <c r="AR12" s="70">
        <f t="shared" ref="AR12:AR17" si="8">W8</f>
        <v>3.3173002560151058E-2</v>
      </c>
      <c r="AS12" s="70">
        <f t="shared" ref="AS12:AS17" si="9">AQ12*AR12</f>
        <v>3.2772815821284745E-2</v>
      </c>
      <c r="AU12" s="70">
        <v>20</v>
      </c>
      <c r="AV12" s="70">
        <f>'Tablas de vida'!AA35</f>
        <v>494073.94926814077</v>
      </c>
      <c r="AW12" s="70">
        <f t="shared" si="7"/>
        <v>0.9881478985362816</v>
      </c>
      <c r="AX12" s="70" t="e">
        <f t="shared" ref="AX12:AX17" si="10">AC8</f>
        <v>#VALUE!</v>
      </c>
      <c r="AY12" s="70" t="e">
        <f t="shared" ref="AY12:AY17" si="11">AW12*AX12</f>
        <v>#VALUE!</v>
      </c>
    </row>
    <row r="13" spans="1:57">
      <c r="F13" s="213" t="s">
        <v>65</v>
      </c>
      <c r="G13" s="214"/>
      <c r="H13" s="72">
        <f>Poblacion!E11</f>
        <v>21174.039426968884</v>
      </c>
      <c r="J13" s="215" t="s">
        <v>65</v>
      </c>
      <c r="K13" s="214"/>
      <c r="L13" s="75">
        <f>Poblacion!M11</f>
        <v>21283.920679737646</v>
      </c>
      <c r="Q13" s="58"/>
      <c r="S13" s="199" t="s">
        <v>69</v>
      </c>
      <c r="T13" s="198"/>
      <c r="U13" s="85">
        <f t="shared" si="1"/>
        <v>16342.192489611656</v>
      </c>
      <c r="V13" s="59">
        <f t="shared" si="0"/>
        <v>0</v>
      </c>
      <c r="W13" s="71">
        <f>V13/U13</f>
        <v>0</v>
      </c>
      <c r="Y13" s="200" t="s">
        <v>69</v>
      </c>
      <c r="Z13" s="200"/>
      <c r="AA13" s="86">
        <f t="shared" si="3"/>
        <v>19240.774927434202</v>
      </c>
      <c r="AB13" s="78">
        <f t="shared" si="4"/>
        <v>0</v>
      </c>
      <c r="AC13" s="84">
        <f>AB13/AA13</f>
        <v>0</v>
      </c>
      <c r="AO13" s="91">
        <v>25</v>
      </c>
      <c r="AP13" s="70">
        <f>'Tablas de vida'!AA11</f>
        <v>493077.64972608408</v>
      </c>
      <c r="AQ13" s="70">
        <f t="shared" si="6"/>
        <v>0.98615529945216818</v>
      </c>
      <c r="AR13" s="70">
        <f t="shared" si="8"/>
        <v>2.0811810463569825E-2</v>
      </c>
      <c r="AS13" s="70">
        <f t="shared" si="9"/>
        <v>2.0523677179843467E-2</v>
      </c>
      <c r="AU13" s="70">
        <v>25</v>
      </c>
      <c r="AV13" s="70">
        <f>'Tablas de vida'!AA36</f>
        <v>492849.87733867503</v>
      </c>
      <c r="AW13" s="70">
        <f t="shared" si="7"/>
        <v>0.98569975467735005</v>
      </c>
      <c r="AX13" s="70" t="e">
        <f t="shared" si="10"/>
        <v>#VALUE!</v>
      </c>
      <c r="AY13" s="70" t="e">
        <f t="shared" si="11"/>
        <v>#VALUE!</v>
      </c>
    </row>
    <row r="14" spans="1:57" ht="15.75" thickBot="1">
      <c r="F14" s="213" t="s">
        <v>66</v>
      </c>
      <c r="G14" s="214"/>
      <c r="H14" s="72">
        <f>Poblacion!E12</f>
        <v>20298.270443908823</v>
      </c>
      <c r="J14" s="215" t="s">
        <v>66</v>
      </c>
      <c r="K14" s="214"/>
      <c r="L14" s="75">
        <f>Poblacion!M12</f>
        <v>20667.9553050508</v>
      </c>
      <c r="Q14" s="58"/>
      <c r="S14" s="201" t="s">
        <v>78</v>
      </c>
      <c r="T14" s="202"/>
      <c r="U14" s="133">
        <f>SUM(U7:U13)</f>
        <v>143475.01386657628</v>
      </c>
      <c r="V14" s="133">
        <f>SUM(V7:V13)</f>
        <v>2386.6793762480556</v>
      </c>
      <c r="W14" s="62"/>
      <c r="X14" s="62"/>
      <c r="Y14" s="203" t="s">
        <v>18</v>
      </c>
      <c r="Z14" s="203"/>
      <c r="AA14" s="133">
        <f>SUM(AA7:AA13)</f>
        <v>141644.09846478738</v>
      </c>
      <c r="AB14" s="133" t="e">
        <f>SUM(AB7:AB13)</f>
        <v>#VALUE!</v>
      </c>
      <c r="AC14" s="63"/>
      <c r="AO14" s="91">
        <v>30</v>
      </c>
      <c r="AP14" s="70">
        <f>'Tablas de vida'!AA12</f>
        <v>492482.53240741941</v>
      </c>
      <c r="AQ14" s="70">
        <f t="shared" si="6"/>
        <v>0.98496506481483881</v>
      </c>
      <c r="AR14" s="70">
        <f t="shared" si="8"/>
        <v>1.1151333603543189E-2</v>
      </c>
      <c r="AS14" s="70">
        <f t="shared" si="9"/>
        <v>1.0983674025585807E-2</v>
      </c>
      <c r="AU14" s="70">
        <v>30</v>
      </c>
      <c r="AV14" s="70">
        <f>'Tablas de vida'!AA37</f>
        <v>491373.81554412341</v>
      </c>
      <c r="AW14" s="70">
        <f t="shared" si="7"/>
        <v>0.98274763108824681</v>
      </c>
      <c r="AX14" s="70" t="e">
        <f t="shared" si="10"/>
        <v>#VALUE!</v>
      </c>
      <c r="AY14" s="70" t="e">
        <f t="shared" si="11"/>
        <v>#VALUE!</v>
      </c>
    </row>
    <row r="15" spans="1:57">
      <c r="F15" s="213" t="s">
        <v>67</v>
      </c>
      <c r="G15" s="214"/>
      <c r="H15" s="72">
        <f>Poblacion!E13</f>
        <v>20433.987261411952</v>
      </c>
      <c r="J15" s="215" t="s">
        <v>67</v>
      </c>
      <c r="K15" s="214"/>
      <c r="L15" s="75">
        <f>Poblacion!M13</f>
        <v>19640.128535523938</v>
      </c>
      <c r="Q15" s="58"/>
      <c r="AO15" s="91">
        <v>35</v>
      </c>
      <c r="AP15" s="70">
        <f>'Tablas de vida'!AA13</f>
        <v>491936.04925815092</v>
      </c>
      <c r="AQ15" s="70">
        <f t="shared" si="6"/>
        <v>0.98387209851630186</v>
      </c>
      <c r="AR15" s="70">
        <f t="shared" si="8"/>
        <v>2.0619137501499134E-3</v>
      </c>
      <c r="AS15" s="70">
        <f t="shared" si="9"/>
        <v>2.0286594083196129E-3</v>
      </c>
      <c r="AU15" s="70">
        <v>35</v>
      </c>
      <c r="AV15" s="70">
        <f>'Tablas de vida'!AA38</f>
        <v>488989.96194966399</v>
      </c>
      <c r="AW15" s="70">
        <f t="shared" si="7"/>
        <v>0.97797992389932797</v>
      </c>
      <c r="AX15" s="70" t="e">
        <f t="shared" si="10"/>
        <v>#VALUE!</v>
      </c>
      <c r="AY15" s="70" t="e">
        <f t="shared" si="11"/>
        <v>#VALUE!</v>
      </c>
    </row>
    <row r="16" spans="1:57">
      <c r="F16" s="213" t="s">
        <v>68</v>
      </c>
      <c r="G16" s="214"/>
      <c r="H16" s="72">
        <f>Poblacion!E14</f>
        <v>18998.33357305931</v>
      </c>
      <c r="J16" s="215" t="s">
        <v>68</v>
      </c>
      <c r="K16" s="214"/>
      <c r="L16" s="75">
        <f>Poblacion!M14</f>
        <v>19054.106919506925</v>
      </c>
      <c r="Q16" s="58"/>
      <c r="AO16" s="91">
        <v>40</v>
      </c>
      <c r="AP16" s="70">
        <f>'Tablas de vida'!AA14</f>
        <v>490854.2175547707</v>
      </c>
      <c r="AQ16" s="70">
        <f t="shared" si="6"/>
        <v>0.98170843510954142</v>
      </c>
      <c r="AR16" s="70">
        <f t="shared" si="8"/>
        <v>1.6140302868520245E-4</v>
      </c>
      <c r="AS16" s="70">
        <f t="shared" si="9"/>
        <v>1.5845071471249053E-4</v>
      </c>
      <c r="AU16" s="70">
        <v>40</v>
      </c>
      <c r="AV16" s="70">
        <f>'Tablas de vida'!AA39</f>
        <v>485068.16659179871</v>
      </c>
      <c r="AW16" s="70">
        <f t="shared" si="7"/>
        <v>0.97013633318359738</v>
      </c>
      <c r="AX16" s="70" t="e">
        <f t="shared" si="10"/>
        <v>#VALUE!</v>
      </c>
      <c r="AY16" s="70" t="e">
        <f t="shared" si="11"/>
        <v>#VALUE!</v>
      </c>
    </row>
    <row r="17" spans="6:51">
      <c r="F17" s="213" t="s">
        <v>69</v>
      </c>
      <c r="G17" s="214"/>
      <c r="H17" s="72">
        <f>Poblacion!E15</f>
        <v>16342.192489611656</v>
      </c>
      <c r="J17" s="215" t="s">
        <v>69</v>
      </c>
      <c r="K17" s="214"/>
      <c r="L17" s="75">
        <f>Poblacion!M15</f>
        <v>19240.774927434202</v>
      </c>
      <c r="Q17" s="58"/>
      <c r="T17" s="225">
        <v>2010</v>
      </c>
      <c r="U17" s="225"/>
      <c r="V17" s="225"/>
      <c r="W17" s="225"/>
      <c r="Y17" s="225">
        <v>2020</v>
      </c>
      <c r="Z17" s="225"/>
      <c r="AA17" s="225"/>
      <c r="AB17" s="225"/>
      <c r="AO17" s="91">
        <v>45</v>
      </c>
      <c r="AP17" s="70">
        <f>'Tablas de vida'!AA15</f>
        <v>489322.34605054074</v>
      </c>
      <c r="AQ17" s="70">
        <f t="shared" si="6"/>
        <v>0.97864469210108151</v>
      </c>
      <c r="AR17" s="70">
        <f t="shared" si="8"/>
        <v>0</v>
      </c>
      <c r="AS17" s="70">
        <f t="shared" si="9"/>
        <v>0</v>
      </c>
      <c r="AU17" s="70">
        <v>45</v>
      </c>
      <c r="AV17" s="70">
        <f>'Tablas de vida'!AA40</f>
        <v>478717.33391015348</v>
      </c>
      <c r="AW17" s="70">
        <f t="shared" si="7"/>
        <v>0.95743466782030695</v>
      </c>
      <c r="AX17" s="70">
        <f t="shared" si="10"/>
        <v>0</v>
      </c>
      <c r="AY17" s="70">
        <f t="shared" si="11"/>
        <v>0</v>
      </c>
    </row>
    <row r="18" spans="6:51">
      <c r="F18" s="210" t="s">
        <v>70</v>
      </c>
      <c r="G18" s="211"/>
      <c r="H18" s="59">
        <f>Poblacion!E16</f>
        <v>13344.823168845223</v>
      </c>
      <c r="J18" s="212" t="s">
        <v>70</v>
      </c>
      <c r="K18" s="211"/>
      <c r="L18" s="74">
        <f>Poblacion!M16</f>
        <v>18298.536876338076</v>
      </c>
      <c r="Q18" s="58"/>
      <c r="T18" s="225" t="s">
        <v>91</v>
      </c>
      <c r="U18" s="225"/>
      <c r="V18" s="225"/>
      <c r="W18" s="226" t="s">
        <v>92</v>
      </c>
      <c r="Y18" s="225" t="s">
        <v>91</v>
      </c>
      <c r="Z18" s="225"/>
      <c r="AA18" s="225"/>
      <c r="AB18" s="226" t="s">
        <v>80</v>
      </c>
      <c r="AO18" s="96">
        <v>50</v>
      </c>
      <c r="AP18" s="69">
        <f>'Tablas de vida'!AA16</f>
        <v>487010.38367499178</v>
      </c>
      <c r="AQ18" s="69">
        <f t="shared" si="6"/>
        <v>0.97402076734998355</v>
      </c>
      <c r="AR18" s="77"/>
      <c r="AS18" s="69"/>
      <c r="AU18" s="69">
        <v>50</v>
      </c>
      <c r="AV18" s="69">
        <f>'Tablas de vida'!AA41</f>
        <v>468947.98623153148</v>
      </c>
      <c r="AW18" s="69">
        <f t="shared" si="7"/>
        <v>0.937895972463063</v>
      </c>
      <c r="AX18" s="69"/>
      <c r="AY18" s="69"/>
    </row>
    <row r="19" spans="6:51">
      <c r="F19" s="210" t="s">
        <v>71</v>
      </c>
      <c r="G19" s="211"/>
      <c r="H19" s="59">
        <f>Poblacion!E17</f>
        <v>9636.4134881568752</v>
      </c>
      <c r="J19" s="212" t="s">
        <v>71</v>
      </c>
      <c r="K19" s="211"/>
      <c r="L19" s="74">
        <f>Poblacion!M17</f>
        <v>15678.932109348585</v>
      </c>
      <c r="Q19" s="58"/>
      <c r="T19" s="189" t="s">
        <v>6</v>
      </c>
      <c r="U19" s="189"/>
      <c r="V19" s="189"/>
      <c r="W19" s="33">
        <f>Nacimientos!C52+Nacimientos!D52</f>
        <v>603.6539570852774</v>
      </c>
      <c r="Y19" s="189" t="s">
        <v>6</v>
      </c>
      <c r="Z19" s="189"/>
      <c r="AA19" s="189"/>
      <c r="AB19" s="33">
        <f>Nacimientos!E52+Nacimientos!F52</f>
        <v>714.97509126771195</v>
      </c>
      <c r="AJ19" s="96">
        <v>55</v>
      </c>
      <c r="AK19" s="69">
        <f>'Tablas de vida'!AA17</f>
        <v>482681.25037642132</v>
      </c>
      <c r="AL19" s="69">
        <f>AK19/(5*100000)</f>
        <v>0.96536250075284269</v>
      </c>
      <c r="AM19" s="69"/>
      <c r="AN19" s="69"/>
      <c r="AO19" s="96">
        <v>55</v>
      </c>
      <c r="AP19" s="69">
        <f>'Tablas de vida'!AA17</f>
        <v>482681.25037642132</v>
      </c>
      <c r="AQ19" s="69">
        <f t="shared" si="6"/>
        <v>0.96536250075284269</v>
      </c>
      <c r="AR19" s="69"/>
      <c r="AS19" s="69"/>
      <c r="AU19" s="69">
        <v>55</v>
      </c>
      <c r="AV19" s="69">
        <f>'Tablas de vida'!AA42</f>
        <v>452640.93562148878</v>
      </c>
      <c r="AW19" s="69">
        <f t="shared" si="7"/>
        <v>0.90528187124297754</v>
      </c>
      <c r="AX19" s="69"/>
      <c r="AY19" s="69"/>
    </row>
    <row r="20" spans="6:51">
      <c r="F20" s="210" t="s">
        <v>72</v>
      </c>
      <c r="G20" s="211"/>
      <c r="H20" s="59">
        <f>Poblacion!E18</f>
        <v>6266.2199142083618</v>
      </c>
      <c r="J20" s="212" t="s">
        <v>72</v>
      </c>
      <c r="K20" s="211"/>
      <c r="L20" s="74">
        <f>Poblacion!M18</f>
        <v>12732.033867304426</v>
      </c>
      <c r="Q20" s="58"/>
      <c r="T20" s="189" t="s">
        <v>7</v>
      </c>
      <c r="U20" s="189"/>
      <c r="V20" s="189"/>
      <c r="W20" s="33">
        <f>Nacimientos!C53+Nacimientos!D53</f>
        <v>910.81836862093655</v>
      </c>
      <c r="Y20" s="189" t="s">
        <v>7</v>
      </c>
      <c r="Z20" s="189"/>
      <c r="AA20" s="189"/>
      <c r="AB20" s="33">
        <f>Nacimientos!E53+Nacimientos!F53</f>
        <v>1399.4621335535949</v>
      </c>
      <c r="AJ20" s="96">
        <v>60</v>
      </c>
      <c r="AK20" s="69">
        <f>'Tablas de vida'!AA18</f>
        <v>475713.535163678</v>
      </c>
      <c r="AL20" s="69">
        <f t="shared" ref="AL20:AL25" si="12">AK20/(5*100000)</f>
        <v>0.95142707032735596</v>
      </c>
      <c r="AM20" s="69"/>
      <c r="AN20" s="69"/>
      <c r="AO20" s="96">
        <v>60</v>
      </c>
      <c r="AP20" s="69">
        <f>'Tablas de vida'!AA18</f>
        <v>475713.535163678</v>
      </c>
      <c r="AQ20" s="69">
        <f t="shared" si="6"/>
        <v>0.95142707032735596</v>
      </c>
      <c r="AR20" s="69"/>
      <c r="AS20" s="69"/>
      <c r="AU20" s="69">
        <v>60</v>
      </c>
      <c r="AV20" s="69">
        <f>'Tablas de vida'!AA43</f>
        <v>426854.17004433152</v>
      </c>
      <c r="AW20" s="69">
        <f t="shared" si="7"/>
        <v>0.85370834008866303</v>
      </c>
      <c r="AX20" s="69"/>
      <c r="AY20" s="69"/>
    </row>
    <row r="21" spans="6:51">
      <c r="F21" s="210" t="s">
        <v>73</v>
      </c>
      <c r="G21" s="211"/>
      <c r="H21" s="59">
        <f>Poblacion!E19</f>
        <v>3961.1943644689873</v>
      </c>
      <c r="J21" s="212" t="s">
        <v>73</v>
      </c>
      <c r="K21" s="211"/>
      <c r="L21" s="74">
        <f>Poblacion!M19</f>
        <v>9128.2048435385932</v>
      </c>
      <c r="Q21" s="58"/>
      <c r="T21" s="189" t="s">
        <v>8</v>
      </c>
      <c r="U21" s="189"/>
      <c r="V21" s="189"/>
      <c r="W21" s="33">
        <f>Nacimientos!C54+Nacimientos!D54</f>
        <v>763.63861914656343</v>
      </c>
      <c r="Y21" s="189" t="s">
        <v>8</v>
      </c>
      <c r="Z21" s="189"/>
      <c r="AA21" s="189"/>
      <c r="AB21" s="33">
        <f>Nacimientos!E54+Nacimientos!F54</f>
        <v>1514.6030411048428</v>
      </c>
      <c r="AJ21" s="96">
        <v>65</v>
      </c>
      <c r="AK21" s="69">
        <f>'Tablas de vida'!AA19</f>
        <v>462995.89062626846</v>
      </c>
      <c r="AL21" s="69">
        <f t="shared" si="12"/>
        <v>0.92599178125253689</v>
      </c>
      <c r="AM21" s="69"/>
      <c r="AN21" s="69"/>
      <c r="AO21" s="96">
        <v>65</v>
      </c>
      <c r="AP21" s="69">
        <f>'Tablas de vida'!AA19</f>
        <v>462995.89062626846</v>
      </c>
      <c r="AQ21" s="69">
        <f t="shared" si="6"/>
        <v>0.92599178125253689</v>
      </c>
      <c r="AR21" s="69"/>
      <c r="AS21" s="69"/>
      <c r="AU21" s="69">
        <v>65</v>
      </c>
      <c r="AV21" s="69">
        <f>'Tablas de vida'!AA44</f>
        <v>391227.58813372016</v>
      </c>
      <c r="AW21" s="69">
        <f t="shared" si="7"/>
        <v>0.78245517626744032</v>
      </c>
      <c r="AX21" s="69"/>
      <c r="AY21" s="69"/>
    </row>
    <row r="22" spans="6:51">
      <c r="F22" s="210" t="s">
        <v>74</v>
      </c>
      <c r="G22" s="211"/>
      <c r="H22" s="59">
        <f>Poblacion!E20</f>
        <v>2557.5248384308625</v>
      </c>
      <c r="J22" s="212" t="s">
        <v>74</v>
      </c>
      <c r="K22" s="211"/>
      <c r="L22" s="74">
        <f>Poblacion!M20</f>
        <v>5485.4793777911009</v>
      </c>
      <c r="Q22" s="58"/>
      <c r="T22" s="189" t="s">
        <v>9</v>
      </c>
      <c r="U22" s="189"/>
      <c r="V22" s="189"/>
      <c r="W22" s="33">
        <f>Nacimientos!C55+Nacimientos!D55</f>
        <v>440.67009530223106</v>
      </c>
      <c r="Y22" s="189" t="s">
        <v>9</v>
      </c>
      <c r="Z22" s="189"/>
      <c r="AA22" s="189"/>
      <c r="AB22" s="33">
        <f>Nacimientos!E55+Nacimientos!F55</f>
        <v>1114.7979628258022</v>
      </c>
      <c r="AJ22" s="96">
        <v>70</v>
      </c>
      <c r="AK22" s="69">
        <f>'Tablas de vida'!AA20</f>
        <v>439781.16371200018</v>
      </c>
      <c r="AL22" s="69">
        <f t="shared" si="12"/>
        <v>0.87956232742400031</v>
      </c>
      <c r="AM22" s="69"/>
      <c r="AN22" s="69"/>
      <c r="AO22" s="96">
        <v>70</v>
      </c>
      <c r="AP22" s="69">
        <f>'Tablas de vida'!AA20</f>
        <v>439781.16371200018</v>
      </c>
      <c r="AQ22" s="69">
        <f t="shared" si="6"/>
        <v>0.87956232742400031</v>
      </c>
      <c r="AR22" s="69"/>
      <c r="AS22" s="69"/>
      <c r="AU22" s="69">
        <v>70</v>
      </c>
      <c r="AV22" s="69">
        <f>'Tablas de vida'!AA45</f>
        <v>341003.55522590154</v>
      </c>
      <c r="AW22" s="69">
        <f t="shared" si="7"/>
        <v>0.68200711045180307</v>
      </c>
      <c r="AX22" s="69"/>
      <c r="AY22" s="69"/>
    </row>
    <row r="23" spans="6:51">
      <c r="F23" s="210" t="s">
        <v>75</v>
      </c>
      <c r="G23" s="211"/>
      <c r="H23" s="59">
        <f>Poblacion!E21</f>
        <v>1698.3480137290214</v>
      </c>
      <c r="J23" s="212" t="s">
        <v>75</v>
      </c>
      <c r="K23" s="211"/>
      <c r="L23" s="74">
        <f>Poblacion!M21</f>
        <v>3019.4268805425254</v>
      </c>
      <c r="Q23" s="58"/>
      <c r="T23" s="189" t="s">
        <v>10</v>
      </c>
      <c r="U23" s="189"/>
      <c r="V23" s="189"/>
      <c r="W23" s="33">
        <f>Nacimientos!C56+Nacimientos!D56</f>
        <v>226.35278529496799</v>
      </c>
      <c r="Y23" s="189" t="s">
        <v>10</v>
      </c>
      <c r="Z23" s="189"/>
      <c r="AA23" s="189"/>
      <c r="AB23" s="33">
        <f>Nacimientos!E56+Nacimientos!F56</f>
        <v>487.97324417547634</v>
      </c>
      <c r="AJ23" s="96">
        <v>75</v>
      </c>
      <c r="AK23" s="69">
        <f>'Tablas de vida'!AA21</f>
        <v>394168.51030792482</v>
      </c>
      <c r="AL23" s="69">
        <f t="shared" si="12"/>
        <v>0.78833702061584965</v>
      </c>
      <c r="AM23" s="69"/>
      <c r="AN23" s="69"/>
      <c r="AO23" s="96">
        <v>75</v>
      </c>
      <c r="AP23" s="69">
        <f>'Tablas de vida'!AA21</f>
        <v>394168.51030792482</v>
      </c>
      <c r="AQ23" s="69">
        <f t="shared" si="6"/>
        <v>0.78833702061584965</v>
      </c>
      <c r="AR23" s="69"/>
      <c r="AS23" s="69"/>
      <c r="AU23" s="69">
        <v>75</v>
      </c>
      <c r="AV23" s="69">
        <f>'Tablas de vida'!AA46</f>
        <v>271544.99907650868</v>
      </c>
      <c r="AW23" s="69">
        <f t="shared" si="7"/>
        <v>0.54308999815301739</v>
      </c>
      <c r="AX23" s="69"/>
      <c r="AY23" s="69"/>
    </row>
    <row r="24" spans="6:51">
      <c r="F24" s="210" t="s">
        <v>76</v>
      </c>
      <c r="G24" s="211"/>
      <c r="H24" s="59">
        <f>Poblacion!E22</f>
        <v>1098.913968546439</v>
      </c>
      <c r="J24" s="212" t="s">
        <v>76</v>
      </c>
      <c r="K24" s="211"/>
      <c r="L24" s="74">
        <f>Poblacion!M22</f>
        <v>1818.8316984240287</v>
      </c>
      <c r="Q24" s="58"/>
      <c r="T24" s="189" t="s">
        <v>11</v>
      </c>
      <c r="U24" s="189"/>
      <c r="V24" s="189"/>
      <c r="W24" s="33">
        <f>Nacimientos!C57+Nacimientos!D57</f>
        <v>42.133119304693473</v>
      </c>
      <c r="Y24" s="189" t="s">
        <v>11</v>
      </c>
      <c r="Z24" s="189"/>
      <c r="AA24" s="189"/>
      <c r="AB24" s="33">
        <f>Nacimientos!E57+Nacimientos!F57</f>
        <v>118.60790130805948</v>
      </c>
      <c r="AJ24" s="96">
        <v>80</v>
      </c>
      <c r="AK24" s="69">
        <f>'Tablas de vida'!AA22</f>
        <v>331413.9517761977</v>
      </c>
      <c r="AL24" s="69">
        <f t="shared" si="12"/>
        <v>0.6628279035523954</v>
      </c>
      <c r="AM24" s="69"/>
      <c r="AN24" s="69"/>
      <c r="AO24" s="96">
        <v>80</v>
      </c>
      <c r="AP24" s="69">
        <f>'Tablas de vida'!AA22</f>
        <v>331413.9517761977</v>
      </c>
      <c r="AQ24" s="69">
        <f t="shared" si="6"/>
        <v>0.6628279035523954</v>
      </c>
      <c r="AR24" s="69"/>
      <c r="AS24" s="69"/>
      <c r="AU24" s="69">
        <v>80</v>
      </c>
      <c r="AV24" s="69">
        <f>'Tablas de vida'!AA47</f>
        <v>191740.32924543307</v>
      </c>
      <c r="AW24" s="69">
        <f t="shared" si="7"/>
        <v>0.38348065849086616</v>
      </c>
      <c r="AX24" s="69"/>
      <c r="AY24" s="69"/>
    </row>
    <row r="25" spans="6:51">
      <c r="F25" s="210" t="s">
        <v>77</v>
      </c>
      <c r="G25" s="211"/>
      <c r="H25" s="59">
        <f>Poblacion!E23</f>
        <v>883.50147951542499</v>
      </c>
      <c r="J25" s="212" t="s">
        <v>77</v>
      </c>
      <c r="K25" s="211"/>
      <c r="L25" s="74">
        <f>Poblacion!M23</f>
        <v>1645.7852622763319</v>
      </c>
      <c r="Q25" s="58"/>
      <c r="T25" s="189" t="s">
        <v>12</v>
      </c>
      <c r="U25" s="189"/>
      <c r="V25" s="189"/>
      <c r="W25" s="33">
        <f>Nacimientos!C58+Nacimientos!D58</f>
        <v>3.0663885786635365</v>
      </c>
      <c r="Y25" s="189" t="s">
        <v>12</v>
      </c>
      <c r="Z25" s="189"/>
      <c r="AA25" s="189"/>
      <c r="AB25" s="33">
        <f>Nacimientos!E58+Nacimientos!F58</f>
        <v>7.580625764512412</v>
      </c>
      <c r="AJ25" s="96">
        <v>85</v>
      </c>
      <c r="AK25" s="69">
        <f>'Tablas de vida'!AA23</f>
        <v>642091.59808080178</v>
      </c>
      <c r="AL25" s="69">
        <f t="shared" si="12"/>
        <v>1.2841831961616035</v>
      </c>
      <c r="AM25" s="69"/>
      <c r="AN25" s="69"/>
      <c r="AO25" s="96">
        <v>85</v>
      </c>
      <c r="AP25" s="69">
        <f>'Tablas de vida'!AA23</f>
        <v>642091.59808080178</v>
      </c>
      <c r="AQ25" s="69">
        <f>AP25/(5*100000)</f>
        <v>1.2841831961616035</v>
      </c>
      <c r="AR25" s="69"/>
      <c r="AS25" s="69"/>
      <c r="AU25" s="69">
        <v>85</v>
      </c>
      <c r="AV25" s="69">
        <f>'Tablas de vida'!AA48</f>
        <v>193511.26253226033</v>
      </c>
      <c r="AW25" s="69">
        <f>AV25/(5*100000)</f>
        <v>0.38702252506452067</v>
      </c>
      <c r="AX25" s="69"/>
      <c r="AY25" s="69"/>
    </row>
    <row r="26" spans="6:51">
      <c r="F26" s="204" t="s">
        <v>78</v>
      </c>
      <c r="G26" s="205"/>
      <c r="H26" s="73">
        <f>SUM(H11:H17)</f>
        <v>143475.01386657628</v>
      </c>
      <c r="J26" s="206" t="s">
        <v>78</v>
      </c>
      <c r="K26" s="206"/>
      <c r="L26" s="76">
        <f>SUM(L11:L17)</f>
        <v>141644.09846478738</v>
      </c>
      <c r="Q26" s="58"/>
      <c r="W26" s="33"/>
      <c r="AJ26" s="140"/>
      <c r="AK26" s="141"/>
      <c r="AL26" s="141"/>
      <c r="AM26" s="141" t="s">
        <v>78</v>
      </c>
      <c r="AN26" s="141">
        <f>SUM(AS11:AS17)</f>
        <v>0.1052941428440996</v>
      </c>
      <c r="AO26" s="93"/>
      <c r="AP26" s="94"/>
      <c r="AQ26" s="94"/>
      <c r="AR26" s="94" t="s">
        <v>78</v>
      </c>
      <c r="AS26" s="94">
        <f>SUM(AS11:AS17)</f>
        <v>0.1052941428440996</v>
      </c>
      <c r="AU26" s="80"/>
      <c r="AV26" s="80"/>
      <c r="AW26" s="80"/>
      <c r="AX26" s="80" t="s">
        <v>78</v>
      </c>
      <c r="AY26" s="80" t="e">
        <f>SUM(AY11:AY17)</f>
        <v>#VALUE!</v>
      </c>
    </row>
    <row r="27" spans="6:51" ht="15.75" thickBot="1">
      <c r="F27" s="61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3"/>
      <c r="AO27" s="61"/>
    </row>
    <row r="28" spans="6:51">
      <c r="T28" s="227" t="s">
        <v>93</v>
      </c>
      <c r="U28" s="227"/>
      <c r="X28" s="227" t="s">
        <v>94</v>
      </c>
      <c r="Y28" s="227"/>
    </row>
    <row r="29" spans="6:51">
      <c r="T29" s="228" t="s">
        <v>95</v>
      </c>
      <c r="U29" s="228" t="s">
        <v>96</v>
      </c>
      <c r="X29" s="228" t="s">
        <v>95</v>
      </c>
      <c r="Y29" s="228" t="s">
        <v>97</v>
      </c>
    </row>
    <row r="30" spans="6:51">
      <c r="T30" s="229" t="s">
        <v>6</v>
      </c>
      <c r="U30" s="229">
        <f>(AB19/W19)^(1/$U$39)-1</f>
        <v>1.7054557715922236E-2</v>
      </c>
      <c r="V30" s="229"/>
      <c r="X30" s="229" t="s">
        <v>6</v>
      </c>
      <c r="Y30" s="33">
        <f>AB19*(1+U30)^$U$41</f>
        <v>778.09439134023262</v>
      </c>
    </row>
    <row r="31" spans="6:51">
      <c r="T31" s="229" t="s">
        <v>7</v>
      </c>
      <c r="U31" s="229">
        <f t="shared" ref="U31:U36" si="13">(AB20/W20)^(1/$U$39)-1</f>
        <v>4.3848857871969571E-2</v>
      </c>
      <c r="V31" s="229"/>
      <c r="X31" s="229" t="s">
        <v>7</v>
      </c>
      <c r="Y31" s="33">
        <f>AB20*(1+U31)^$U$41</f>
        <v>1734.6038890767209</v>
      </c>
    </row>
    <row r="32" spans="6:51">
      <c r="T32" s="229" t="s">
        <v>8</v>
      </c>
      <c r="U32" s="229">
        <f t="shared" si="13"/>
        <v>7.0820488938799997E-2</v>
      </c>
      <c r="V32" s="229"/>
      <c r="X32" s="229" t="s">
        <v>8</v>
      </c>
      <c r="Y32" s="33">
        <f t="shared" ref="Y32:Y36" si="14">AB21*(1+U32)^$U$41</f>
        <v>2132.8661501914171</v>
      </c>
    </row>
    <row r="33" spans="20:25">
      <c r="T33" s="229" t="s">
        <v>9</v>
      </c>
      <c r="U33" s="229">
        <f t="shared" si="13"/>
        <v>9.7173121568612464E-2</v>
      </c>
      <c r="V33" s="229"/>
      <c r="X33" s="229" t="s">
        <v>9</v>
      </c>
      <c r="Y33" s="33">
        <f t="shared" si="14"/>
        <v>1772.8921142280828</v>
      </c>
    </row>
    <row r="34" spans="20:25">
      <c r="T34" s="229" t="s">
        <v>10</v>
      </c>
      <c r="U34" s="229">
        <f t="shared" si="13"/>
        <v>7.9775881222177381E-2</v>
      </c>
      <c r="V34" s="229"/>
      <c r="X34" s="229" t="s">
        <v>10</v>
      </c>
      <c r="Y34" s="33">
        <f t="shared" si="14"/>
        <v>716.39978622596868</v>
      </c>
    </row>
    <row r="35" spans="20:25">
      <c r="T35" s="229" t="s">
        <v>11</v>
      </c>
      <c r="U35" s="229">
        <f t="shared" si="13"/>
        <v>0.10895032153915363</v>
      </c>
      <c r="V35" s="229"/>
      <c r="X35" s="229" t="s">
        <v>11</v>
      </c>
      <c r="Y35" s="33">
        <f t="shared" si="14"/>
        <v>198.97436358432708</v>
      </c>
    </row>
    <row r="36" spans="20:25">
      <c r="T36" s="229" t="s">
        <v>12</v>
      </c>
      <c r="U36" s="229">
        <f t="shared" si="13"/>
        <v>9.4650574826399714E-2</v>
      </c>
      <c r="V36" s="229"/>
      <c r="X36" s="229" t="s">
        <v>12</v>
      </c>
      <c r="Y36" s="33">
        <f t="shared" si="14"/>
        <v>11.917638527981186</v>
      </c>
    </row>
    <row r="38" spans="20:25">
      <c r="T38" t="s">
        <v>98</v>
      </c>
      <c r="U38" t="s">
        <v>38</v>
      </c>
    </row>
    <row r="39" spans="20:25">
      <c r="T39" s="230">
        <v>40359</v>
      </c>
      <c r="U39" s="189">
        <v>10.0082182</v>
      </c>
    </row>
    <row r="40" spans="20:25">
      <c r="T40" s="230">
        <v>44012</v>
      </c>
      <c r="U40" s="189"/>
    </row>
    <row r="41" spans="20:25">
      <c r="T41" s="230">
        <v>45838</v>
      </c>
      <c r="U41">
        <v>5.0027397300000001</v>
      </c>
    </row>
  </sheetData>
  <mergeCells count="90">
    <mergeCell ref="T28:U28"/>
    <mergeCell ref="X28:Y28"/>
    <mergeCell ref="U39:U40"/>
    <mergeCell ref="T22:V22"/>
    <mergeCell ref="T23:V23"/>
    <mergeCell ref="T24:V24"/>
    <mergeCell ref="T25:V25"/>
    <mergeCell ref="Y17:AB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T17:W17"/>
    <mergeCell ref="T18:V18"/>
    <mergeCell ref="T19:V19"/>
    <mergeCell ref="T20:V20"/>
    <mergeCell ref="T21:V21"/>
    <mergeCell ref="A1:D1"/>
    <mergeCell ref="F1:Q1"/>
    <mergeCell ref="F5:H5"/>
    <mergeCell ref="J5:L5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6:G26"/>
    <mergeCell ref="J26:K26"/>
    <mergeCell ref="S1:AC1"/>
    <mergeCell ref="S5:W5"/>
    <mergeCell ref="Y5:AC5"/>
    <mergeCell ref="S7:T7"/>
    <mergeCell ref="Y7:Z7"/>
    <mergeCell ref="S8:T8"/>
    <mergeCell ref="Y8:Z8"/>
    <mergeCell ref="S9:T9"/>
    <mergeCell ref="F23:G23"/>
    <mergeCell ref="J23:K23"/>
    <mergeCell ref="F24:G24"/>
    <mergeCell ref="J24:K24"/>
    <mergeCell ref="F25:G25"/>
    <mergeCell ref="J25:K25"/>
    <mergeCell ref="S13:T13"/>
    <mergeCell ref="Y13:Z13"/>
    <mergeCell ref="S14:T14"/>
    <mergeCell ref="Y14:Z14"/>
    <mergeCell ref="Y9:Z9"/>
    <mergeCell ref="S10:T10"/>
    <mergeCell ref="Y10:Z10"/>
    <mergeCell ref="S11:T11"/>
    <mergeCell ref="Y11:Z11"/>
    <mergeCell ref="S12:T12"/>
    <mergeCell ref="Y12:Z12"/>
    <mergeCell ref="AE1:AG1"/>
    <mergeCell ref="AE11:AF11"/>
    <mergeCell ref="AI1:AM1"/>
    <mergeCell ref="AO1:BE1"/>
    <mergeCell ref="AO5:AS5"/>
    <mergeCell ref="AU5:AY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Nacimientos</vt:lpstr>
      <vt:lpstr>Defunciones</vt:lpstr>
      <vt:lpstr>Poblacion</vt:lpstr>
      <vt:lpstr>Tablas de vida</vt:lpstr>
      <vt:lpstr>Fecundidad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xifer</dc:creator>
  <cp:lastModifiedBy>hp</cp:lastModifiedBy>
  <dcterms:created xsi:type="dcterms:W3CDTF">2026-05-15T19:45:38Z</dcterms:created>
  <dcterms:modified xsi:type="dcterms:W3CDTF">2026-05-24T03:25:26Z</dcterms:modified>
</cp:coreProperties>
</file>