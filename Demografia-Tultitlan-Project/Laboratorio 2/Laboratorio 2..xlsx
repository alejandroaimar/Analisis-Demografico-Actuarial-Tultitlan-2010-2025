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Escritorio\Excel Demografia\"/>
    </mc:Choice>
  </mc:AlternateContent>
  <bookViews>
    <workbookView xWindow="0" yWindow="0" windowWidth="20490" windowHeight="7620" activeTab="3"/>
  </bookViews>
  <sheets>
    <sheet name="DATOS" sheetId="1" r:id="rId1"/>
    <sheet name="Gráficas" sheetId="4" r:id="rId2"/>
    <sheet name="Geometrico" sheetId="5" r:id="rId3"/>
    <sheet name="Exponencial" sheetId="7" r:id="rId4"/>
  </sheets>
  <calcPr calcId="162913"/>
</workbook>
</file>

<file path=xl/calcChain.xml><?xml version="1.0" encoding="utf-8"?>
<calcChain xmlns="http://schemas.openxmlformats.org/spreadsheetml/2006/main">
  <c r="Q9" i="4" l="1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7" i="4"/>
  <c r="D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7" i="4"/>
  <c r="C8" i="4"/>
  <c r="K25" i="1" l="1"/>
  <c r="B42" i="7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42" i="5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I30" i="5" l="1"/>
  <c r="B80" i="7" l="1"/>
  <c r="B79" i="7"/>
  <c r="B78" i="7"/>
  <c r="R54" i="7"/>
  <c r="B76" i="7"/>
  <c r="B75" i="7"/>
  <c r="B74" i="7"/>
  <c r="R50" i="7"/>
  <c r="B72" i="7"/>
  <c r="B71" i="7"/>
  <c r="I34" i="7"/>
  <c r="I33" i="7"/>
  <c r="I32" i="7"/>
  <c r="I31" i="7"/>
  <c r="I30" i="7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62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39" i="5"/>
  <c r="I34" i="5"/>
  <c r="I33" i="5"/>
  <c r="I32" i="5"/>
  <c r="I31" i="5"/>
  <c r="P7" i="4"/>
  <c r="P8" i="4" s="1"/>
  <c r="I6" i="7" s="1"/>
  <c r="O7" i="4"/>
  <c r="H5" i="7" s="1"/>
  <c r="F5" i="7"/>
  <c r="C7" i="4"/>
  <c r="E5" i="7" s="1"/>
  <c r="O10" i="4"/>
  <c r="H8" i="5" s="1"/>
  <c r="P10" i="4"/>
  <c r="I8" i="7" s="1"/>
  <c r="O11" i="4"/>
  <c r="H9" i="7" s="1"/>
  <c r="P11" i="4"/>
  <c r="I9" i="7" s="1"/>
  <c r="O12" i="4"/>
  <c r="H10" i="5" s="1"/>
  <c r="P12" i="4"/>
  <c r="O13" i="4"/>
  <c r="H11" i="7" s="1"/>
  <c r="P13" i="4"/>
  <c r="O14" i="4"/>
  <c r="H12" i="5" s="1"/>
  <c r="P14" i="4"/>
  <c r="I12" i="7" s="1"/>
  <c r="O15" i="4"/>
  <c r="H13" i="7" s="1"/>
  <c r="P15" i="4"/>
  <c r="O16" i="4"/>
  <c r="H14" i="5" s="1"/>
  <c r="P16" i="4"/>
  <c r="I14" i="7" s="1"/>
  <c r="O17" i="4"/>
  <c r="H15" i="7" s="1"/>
  <c r="P17" i="4"/>
  <c r="O18" i="4"/>
  <c r="H16" i="5" s="1"/>
  <c r="P18" i="4"/>
  <c r="I16" i="7" s="1"/>
  <c r="O19" i="4"/>
  <c r="H17" i="7" s="1"/>
  <c r="P19" i="4"/>
  <c r="O20" i="4"/>
  <c r="H18" i="5" s="1"/>
  <c r="P20" i="4"/>
  <c r="I18" i="7" s="1"/>
  <c r="O21" i="4"/>
  <c r="H19" i="7" s="1"/>
  <c r="P21" i="4"/>
  <c r="O22" i="4"/>
  <c r="H20" i="5" s="1"/>
  <c r="P22" i="4"/>
  <c r="I20" i="7" s="1"/>
  <c r="O23" i="4"/>
  <c r="H21" i="7" s="1"/>
  <c r="P23" i="4"/>
  <c r="O24" i="4"/>
  <c r="H22" i="5" s="1"/>
  <c r="P24" i="4"/>
  <c r="I22" i="7" s="1"/>
  <c r="O25" i="4"/>
  <c r="H23" i="7" s="1"/>
  <c r="P25" i="4"/>
  <c r="P9" i="4"/>
  <c r="O9" i="4"/>
  <c r="H7" i="7" s="1"/>
  <c r="D25" i="4"/>
  <c r="F23" i="7" s="1"/>
  <c r="C25" i="4"/>
  <c r="E23" i="7" s="1"/>
  <c r="D24" i="4"/>
  <c r="C24" i="4"/>
  <c r="E22" i="7" s="1"/>
  <c r="D23" i="4"/>
  <c r="C23" i="4"/>
  <c r="E21" i="7" s="1"/>
  <c r="D22" i="4"/>
  <c r="C22" i="4"/>
  <c r="E20" i="7" s="1"/>
  <c r="D21" i="4"/>
  <c r="F19" i="7" s="1"/>
  <c r="C21" i="4"/>
  <c r="E19" i="7" s="1"/>
  <c r="D20" i="4"/>
  <c r="C20" i="4"/>
  <c r="E18" i="7" s="1"/>
  <c r="D19" i="4"/>
  <c r="F17" i="7" s="1"/>
  <c r="C19" i="4"/>
  <c r="E17" i="7" s="1"/>
  <c r="D18" i="4"/>
  <c r="C18" i="4"/>
  <c r="E16" i="7" s="1"/>
  <c r="D17" i="4"/>
  <c r="F15" i="7" s="1"/>
  <c r="C17" i="4"/>
  <c r="E15" i="7" s="1"/>
  <c r="D16" i="4"/>
  <c r="C16" i="4"/>
  <c r="E14" i="7" s="1"/>
  <c r="D15" i="4"/>
  <c r="F13" i="5" s="1"/>
  <c r="C15" i="4"/>
  <c r="E13" i="7" s="1"/>
  <c r="D14" i="4"/>
  <c r="C14" i="4"/>
  <c r="E12" i="7" s="1"/>
  <c r="D13" i="4"/>
  <c r="F11" i="5" s="1"/>
  <c r="C13" i="4"/>
  <c r="E11" i="7" s="1"/>
  <c r="D12" i="4"/>
  <c r="C12" i="4"/>
  <c r="E10" i="7" s="1"/>
  <c r="D11" i="4"/>
  <c r="F9" i="5" s="1"/>
  <c r="C11" i="4"/>
  <c r="E9" i="7" s="1"/>
  <c r="D10" i="4"/>
  <c r="C10" i="4"/>
  <c r="E8" i="7" s="1"/>
  <c r="D9" i="4"/>
  <c r="F7" i="5" s="1"/>
  <c r="C9" i="4"/>
  <c r="E7" i="7" s="1"/>
  <c r="D8" i="4"/>
  <c r="P25" i="1"/>
  <c r="O25" i="1"/>
  <c r="L25" i="1"/>
  <c r="E5" i="5" l="1"/>
  <c r="F5" i="5"/>
  <c r="K5" i="7"/>
  <c r="R5" i="7" s="1"/>
  <c r="N5" i="7"/>
  <c r="O8" i="4"/>
  <c r="I5" i="7"/>
  <c r="L5" i="7" s="1"/>
  <c r="S5" i="7" s="1"/>
  <c r="H5" i="5"/>
  <c r="I5" i="5"/>
  <c r="K7" i="7"/>
  <c r="I23" i="5"/>
  <c r="I21" i="5"/>
  <c r="I19" i="5"/>
  <c r="I17" i="5"/>
  <c r="I15" i="5"/>
  <c r="I13" i="5"/>
  <c r="L13" i="5" s="1"/>
  <c r="I11" i="5"/>
  <c r="I9" i="5"/>
  <c r="L9" i="5" s="1"/>
  <c r="S9" i="5" s="1"/>
  <c r="T43" i="5" s="1"/>
  <c r="I7" i="5"/>
  <c r="L7" i="5" s="1"/>
  <c r="I7" i="7"/>
  <c r="I11" i="7"/>
  <c r="I13" i="7"/>
  <c r="I15" i="7"/>
  <c r="I17" i="7"/>
  <c r="L17" i="7" s="1"/>
  <c r="S17" i="7" s="1"/>
  <c r="T51" i="7" s="1"/>
  <c r="I19" i="7"/>
  <c r="L19" i="7" s="1"/>
  <c r="O19" i="7" s="1"/>
  <c r="S53" i="7" s="1"/>
  <c r="I21" i="7"/>
  <c r="I23" i="7"/>
  <c r="K9" i="7"/>
  <c r="K11" i="7"/>
  <c r="N11" i="7" s="1"/>
  <c r="K13" i="7"/>
  <c r="R13" i="7" s="1"/>
  <c r="K15" i="7"/>
  <c r="K17" i="7"/>
  <c r="K19" i="7"/>
  <c r="N19" i="7" s="1"/>
  <c r="K21" i="7"/>
  <c r="K23" i="7"/>
  <c r="H23" i="5"/>
  <c r="H21" i="5"/>
  <c r="H19" i="5"/>
  <c r="H17" i="5"/>
  <c r="H15" i="5"/>
  <c r="H13" i="5"/>
  <c r="H11" i="5"/>
  <c r="H9" i="5"/>
  <c r="H7" i="5"/>
  <c r="H6" i="7"/>
  <c r="H8" i="7"/>
  <c r="K8" i="7" s="1"/>
  <c r="N8" i="7" s="1"/>
  <c r="H10" i="7"/>
  <c r="H12" i="7"/>
  <c r="K12" i="7" s="1"/>
  <c r="R12" i="7" s="1"/>
  <c r="H14" i="7"/>
  <c r="K14" i="7" s="1"/>
  <c r="N14" i="7" s="1"/>
  <c r="H16" i="7"/>
  <c r="K16" i="7" s="1"/>
  <c r="N16" i="7" s="1"/>
  <c r="H18" i="7"/>
  <c r="K18" i="7" s="1"/>
  <c r="N18" i="7" s="1"/>
  <c r="H20" i="7"/>
  <c r="K20" i="7" s="1"/>
  <c r="R20" i="7" s="1"/>
  <c r="H22" i="7"/>
  <c r="K22" i="7" s="1"/>
  <c r="L15" i="7"/>
  <c r="L23" i="7"/>
  <c r="O23" i="7" s="1"/>
  <c r="S57" i="7" s="1"/>
  <c r="I22" i="5"/>
  <c r="I20" i="5"/>
  <c r="I18" i="5"/>
  <c r="I16" i="5"/>
  <c r="I14" i="5"/>
  <c r="I12" i="5"/>
  <c r="I10" i="5"/>
  <c r="I8" i="5"/>
  <c r="I6" i="5"/>
  <c r="I10" i="7"/>
  <c r="K10" i="7"/>
  <c r="L11" i="5"/>
  <c r="O11" i="5" s="1"/>
  <c r="F14" i="7"/>
  <c r="L14" i="7" s="1"/>
  <c r="W14" i="7" s="1"/>
  <c r="U48" i="7" s="1"/>
  <c r="E22" i="5"/>
  <c r="E20" i="5"/>
  <c r="E18" i="5"/>
  <c r="E16" i="5"/>
  <c r="E14" i="5"/>
  <c r="E12" i="5"/>
  <c r="E10" i="5"/>
  <c r="E8" i="5"/>
  <c r="F6" i="7"/>
  <c r="L6" i="7" s="1"/>
  <c r="AA6" i="7" s="1"/>
  <c r="V40" i="7" s="1"/>
  <c r="F7" i="7"/>
  <c r="F8" i="7"/>
  <c r="L8" i="7" s="1"/>
  <c r="S8" i="7" s="1"/>
  <c r="T42" i="7" s="1"/>
  <c r="F9" i="7"/>
  <c r="L9" i="7" s="1"/>
  <c r="S9" i="7" s="1"/>
  <c r="T43" i="7" s="1"/>
  <c r="F10" i="7"/>
  <c r="L10" i="7" s="1"/>
  <c r="W10" i="7" s="1"/>
  <c r="U44" i="7" s="1"/>
  <c r="F11" i="7"/>
  <c r="F12" i="7"/>
  <c r="L12" i="7" s="1"/>
  <c r="AA12" i="7" s="1"/>
  <c r="V46" i="7" s="1"/>
  <c r="F13" i="7"/>
  <c r="L13" i="7" s="1"/>
  <c r="S13" i="7" s="1"/>
  <c r="T47" i="7" s="1"/>
  <c r="F23" i="5"/>
  <c r="F21" i="5"/>
  <c r="F19" i="5"/>
  <c r="F17" i="5"/>
  <c r="F15" i="5"/>
  <c r="E23" i="5"/>
  <c r="E21" i="5"/>
  <c r="E19" i="5"/>
  <c r="E17" i="5"/>
  <c r="E15" i="5"/>
  <c r="E13" i="5"/>
  <c r="E11" i="5"/>
  <c r="E9" i="5"/>
  <c r="E7" i="5"/>
  <c r="F22" i="5"/>
  <c r="F20" i="5"/>
  <c r="F18" i="5"/>
  <c r="F16" i="5"/>
  <c r="F14" i="5"/>
  <c r="F12" i="5"/>
  <c r="F10" i="5"/>
  <c r="F8" i="5"/>
  <c r="F6" i="5"/>
  <c r="F16" i="7"/>
  <c r="L16" i="7" s="1"/>
  <c r="AA16" i="7" s="1"/>
  <c r="V50" i="7" s="1"/>
  <c r="F18" i="7"/>
  <c r="L18" i="7" s="1"/>
  <c r="F20" i="7"/>
  <c r="L20" i="7" s="1"/>
  <c r="F21" i="7"/>
  <c r="L21" i="7" s="1"/>
  <c r="S21" i="7" s="1"/>
  <c r="T55" i="7" s="1"/>
  <c r="F22" i="7"/>
  <c r="W18" i="7"/>
  <c r="U52" i="7" s="1"/>
  <c r="AA20" i="7"/>
  <c r="V54" i="7" s="1"/>
  <c r="W20" i="7"/>
  <c r="U54" i="7" s="1"/>
  <c r="R42" i="7"/>
  <c r="B65" i="7"/>
  <c r="R46" i="7"/>
  <c r="B69" i="7"/>
  <c r="V5" i="7"/>
  <c r="Z7" i="7"/>
  <c r="V9" i="7"/>
  <c r="V13" i="7"/>
  <c r="Z15" i="7"/>
  <c r="V17" i="7"/>
  <c r="S18" i="7"/>
  <c r="T52" i="7" s="1"/>
  <c r="S20" i="7"/>
  <c r="T54" i="7" s="1"/>
  <c r="V21" i="7"/>
  <c r="B62" i="7"/>
  <c r="R39" i="7"/>
  <c r="B66" i="7"/>
  <c r="R43" i="7"/>
  <c r="B70" i="7"/>
  <c r="R47" i="7"/>
  <c r="R7" i="7"/>
  <c r="R9" i="7"/>
  <c r="AA15" i="7"/>
  <c r="V49" i="7" s="1"/>
  <c r="R15" i="7"/>
  <c r="R17" i="7"/>
  <c r="R19" i="7"/>
  <c r="R21" i="7"/>
  <c r="AA23" i="7"/>
  <c r="V57" i="7" s="1"/>
  <c r="B63" i="7"/>
  <c r="R40" i="7"/>
  <c r="B67" i="7"/>
  <c r="R44" i="7"/>
  <c r="N10" i="7"/>
  <c r="B64" i="7"/>
  <c r="R41" i="7"/>
  <c r="B68" i="7"/>
  <c r="R45" i="7"/>
  <c r="R49" i="7"/>
  <c r="R51" i="7"/>
  <c r="R53" i="7"/>
  <c r="R55" i="7"/>
  <c r="R57" i="7"/>
  <c r="B73" i="7"/>
  <c r="B77" i="7"/>
  <c r="R48" i="7"/>
  <c r="R52" i="7"/>
  <c r="R56" i="7"/>
  <c r="D26" i="4"/>
  <c r="P26" i="4"/>
  <c r="O26" i="4"/>
  <c r="R11" i="7" l="1"/>
  <c r="L11" i="7"/>
  <c r="O11" i="7" s="1"/>
  <c r="S45" i="7" s="1"/>
  <c r="S12" i="7"/>
  <c r="T46" i="7" s="1"/>
  <c r="W12" i="7"/>
  <c r="U46" i="7" s="1"/>
  <c r="H6" i="5"/>
  <c r="Q8" i="4"/>
  <c r="T5" i="7"/>
  <c r="O13" i="5"/>
  <c r="S47" i="5" s="1"/>
  <c r="S13" i="5"/>
  <c r="T47" i="5" s="1"/>
  <c r="AA14" i="7"/>
  <c r="V48" i="7" s="1"/>
  <c r="I24" i="7"/>
  <c r="H25" i="7" s="1"/>
  <c r="S16" i="7"/>
  <c r="T50" i="7" s="1"/>
  <c r="H24" i="7"/>
  <c r="W5" i="7"/>
  <c r="X5" i="7" s="1"/>
  <c r="Z5" i="7"/>
  <c r="F39" i="7" s="1"/>
  <c r="O6" i="7"/>
  <c r="S40" i="7" s="1"/>
  <c r="H24" i="5"/>
  <c r="L5" i="5"/>
  <c r="AA5" i="5" s="1"/>
  <c r="V39" i="5" s="1"/>
  <c r="K5" i="5"/>
  <c r="V5" i="5" s="1"/>
  <c r="AA8" i="7"/>
  <c r="V42" i="7" s="1"/>
  <c r="L7" i="7"/>
  <c r="AA7" i="7" s="1"/>
  <c r="V41" i="7" s="1"/>
  <c r="S11" i="5"/>
  <c r="T45" i="5" s="1"/>
  <c r="I24" i="5"/>
  <c r="L22" i="7"/>
  <c r="S22" i="7" s="1"/>
  <c r="T56" i="7" s="1"/>
  <c r="L10" i="5"/>
  <c r="S10" i="5" s="1"/>
  <c r="L18" i="5"/>
  <c r="O18" i="5" s="1"/>
  <c r="S52" i="5" s="1"/>
  <c r="K9" i="5"/>
  <c r="K17" i="5"/>
  <c r="N17" i="5" s="1"/>
  <c r="L15" i="5"/>
  <c r="S15" i="5" s="1"/>
  <c r="T49" i="5" s="1"/>
  <c r="L23" i="5"/>
  <c r="O23" i="5" s="1"/>
  <c r="S57" i="5" s="1"/>
  <c r="K14" i="5"/>
  <c r="K22" i="5"/>
  <c r="R22" i="5" s="1"/>
  <c r="D56" i="5" s="1"/>
  <c r="L12" i="5"/>
  <c r="S12" i="5" s="1"/>
  <c r="L17" i="5"/>
  <c r="O17" i="5" s="1"/>
  <c r="W6" i="7"/>
  <c r="U40" i="7" s="1"/>
  <c r="L8" i="5"/>
  <c r="O8" i="5" s="1"/>
  <c r="S42" i="5" s="1"/>
  <c r="L16" i="5"/>
  <c r="K7" i="5"/>
  <c r="R7" i="5" s="1"/>
  <c r="D41" i="5" s="1"/>
  <c r="K15" i="5"/>
  <c r="R15" i="5" s="1"/>
  <c r="K23" i="5"/>
  <c r="N23" i="5" s="1"/>
  <c r="L21" i="5"/>
  <c r="K12" i="5"/>
  <c r="N12" i="5" s="1"/>
  <c r="C46" i="5" s="1"/>
  <c r="K20" i="5"/>
  <c r="R20" i="5" s="1"/>
  <c r="AA13" i="5"/>
  <c r="V47" i="5" s="1"/>
  <c r="W13" i="5"/>
  <c r="U47" i="5" s="1"/>
  <c r="W7" i="5"/>
  <c r="U41" i="5" s="1"/>
  <c r="AA7" i="5"/>
  <c r="V41" i="5" s="1"/>
  <c r="AA9" i="5"/>
  <c r="V43" i="5" s="1"/>
  <c r="W9" i="5"/>
  <c r="U43" i="5" s="1"/>
  <c r="O7" i="5"/>
  <c r="S41" i="5" s="1"/>
  <c r="L20" i="5"/>
  <c r="O20" i="5" s="1"/>
  <c r="S54" i="5" s="1"/>
  <c r="K11" i="5"/>
  <c r="K19" i="5"/>
  <c r="N19" i="5" s="1"/>
  <c r="C53" i="5" s="1"/>
  <c r="K8" i="5"/>
  <c r="R8" i="5" s="1"/>
  <c r="K16" i="5"/>
  <c r="N16" i="5" s="1"/>
  <c r="C50" i="5" s="1"/>
  <c r="C26" i="4"/>
  <c r="E6" i="7"/>
  <c r="E6" i="5"/>
  <c r="F24" i="7"/>
  <c r="S14" i="7"/>
  <c r="T48" i="7" s="1"/>
  <c r="S10" i="7"/>
  <c r="T44" i="7" s="1"/>
  <c r="S6" i="7"/>
  <c r="O14" i="7"/>
  <c r="S48" i="7" s="1"/>
  <c r="L6" i="5"/>
  <c r="F24" i="5"/>
  <c r="L14" i="5"/>
  <c r="L22" i="5"/>
  <c r="S22" i="5" s="1"/>
  <c r="T56" i="5" s="1"/>
  <c r="K13" i="5"/>
  <c r="R13" i="5" s="1"/>
  <c r="K21" i="5"/>
  <c r="N21" i="5" s="1"/>
  <c r="C55" i="5" s="1"/>
  <c r="L19" i="5"/>
  <c r="K10" i="5"/>
  <c r="N10" i="5" s="1"/>
  <c r="C44" i="5" s="1"/>
  <c r="K18" i="5"/>
  <c r="R18" i="5" s="1"/>
  <c r="W11" i="5"/>
  <c r="U45" i="5" s="1"/>
  <c r="AA11" i="5"/>
  <c r="V45" i="5" s="1"/>
  <c r="O9" i="5"/>
  <c r="S43" i="5" s="1"/>
  <c r="S7" i="5"/>
  <c r="T41" i="5" s="1"/>
  <c r="S45" i="5"/>
  <c r="C52" i="7"/>
  <c r="C44" i="7"/>
  <c r="T39" i="7"/>
  <c r="E55" i="7"/>
  <c r="E51" i="7"/>
  <c r="E47" i="7"/>
  <c r="E43" i="7"/>
  <c r="C42" i="7"/>
  <c r="C50" i="7"/>
  <c r="C48" i="7"/>
  <c r="C71" i="7" s="1"/>
  <c r="P14" i="7"/>
  <c r="C53" i="7"/>
  <c r="C76" i="7" s="1"/>
  <c r="P19" i="7"/>
  <c r="F49" i="7"/>
  <c r="F72" i="7" s="1"/>
  <c r="AB15" i="7"/>
  <c r="C45" i="7"/>
  <c r="C68" i="7" s="1"/>
  <c r="P11" i="7"/>
  <c r="AB7" i="7"/>
  <c r="F41" i="7"/>
  <c r="F64" i="7" s="1"/>
  <c r="D54" i="7"/>
  <c r="D77" i="7" s="1"/>
  <c r="T20" i="7"/>
  <c r="T12" i="7"/>
  <c r="D46" i="7"/>
  <c r="D69" i="7" s="1"/>
  <c r="R22" i="7"/>
  <c r="Z22" i="7"/>
  <c r="AA22" i="7"/>
  <c r="V56" i="7" s="1"/>
  <c r="D53" i="7"/>
  <c r="Z14" i="7"/>
  <c r="D45" i="7"/>
  <c r="V22" i="7"/>
  <c r="AA19" i="7"/>
  <c r="V53" i="7" s="1"/>
  <c r="AA11" i="7"/>
  <c r="V45" i="7" s="1"/>
  <c r="Z21" i="7"/>
  <c r="R18" i="7"/>
  <c r="W16" i="7"/>
  <c r="U50" i="7" s="1"/>
  <c r="O15" i="7"/>
  <c r="S49" i="7" s="1"/>
  <c r="Z13" i="7"/>
  <c r="R10" i="7"/>
  <c r="W8" i="7"/>
  <c r="U42" i="7" s="1"/>
  <c r="O7" i="7"/>
  <c r="S41" i="7" s="1"/>
  <c r="W19" i="7"/>
  <c r="U53" i="7" s="1"/>
  <c r="W15" i="7"/>
  <c r="U49" i="7" s="1"/>
  <c r="W11" i="7"/>
  <c r="U45" i="7" s="1"/>
  <c r="W7" i="7"/>
  <c r="U41" i="7" s="1"/>
  <c r="V20" i="7"/>
  <c r="V16" i="7"/>
  <c r="V12" i="7"/>
  <c r="V8" i="7"/>
  <c r="O20" i="7"/>
  <c r="S54" i="7" s="1"/>
  <c r="O16" i="7"/>
  <c r="S50" i="7" s="1"/>
  <c r="O12" i="7"/>
  <c r="S46" i="7" s="1"/>
  <c r="O8" i="7"/>
  <c r="S42" i="7" s="1"/>
  <c r="N21" i="7"/>
  <c r="N17" i="7"/>
  <c r="N13" i="7"/>
  <c r="N9" i="7"/>
  <c r="Z23" i="7"/>
  <c r="R23" i="7"/>
  <c r="W23" i="7"/>
  <c r="U57" i="7" s="1"/>
  <c r="D55" i="7"/>
  <c r="D78" i="7" s="1"/>
  <c r="T21" i="7"/>
  <c r="Z16" i="7"/>
  <c r="D47" i="7"/>
  <c r="D70" i="7" s="1"/>
  <c r="T13" i="7"/>
  <c r="Z8" i="7"/>
  <c r="AA21" i="7"/>
  <c r="V55" i="7" s="1"/>
  <c r="AA13" i="7"/>
  <c r="V47" i="7" s="1"/>
  <c r="AA5" i="7"/>
  <c r="V23" i="7"/>
  <c r="O21" i="7"/>
  <c r="S55" i="7" s="1"/>
  <c r="Z19" i="7"/>
  <c r="R16" i="7"/>
  <c r="O13" i="7"/>
  <c r="S47" i="7" s="1"/>
  <c r="Z11" i="7"/>
  <c r="R8" i="7"/>
  <c r="O5" i="7"/>
  <c r="P5" i="7" s="1"/>
  <c r="AA18" i="7"/>
  <c r="V52" i="7" s="1"/>
  <c r="AA10" i="7"/>
  <c r="V44" i="7" s="1"/>
  <c r="V19" i="7"/>
  <c r="V15" i="7"/>
  <c r="V11" i="7"/>
  <c r="V7" i="7"/>
  <c r="S19" i="7"/>
  <c r="T53" i="7" s="1"/>
  <c r="S15" i="7"/>
  <c r="T49" i="7" s="1"/>
  <c r="S11" i="7"/>
  <c r="T45" i="7" s="1"/>
  <c r="S7" i="7"/>
  <c r="T41" i="7" s="1"/>
  <c r="N20" i="7"/>
  <c r="N12" i="7"/>
  <c r="Z18" i="7"/>
  <c r="D49" i="7"/>
  <c r="T15" i="7"/>
  <c r="Z10" i="7"/>
  <c r="D41" i="7"/>
  <c r="D39" i="7"/>
  <c r="E39" i="7"/>
  <c r="Z17" i="7"/>
  <c r="R14" i="7"/>
  <c r="Z9" i="7"/>
  <c r="W21" i="7"/>
  <c r="U55" i="7" s="1"/>
  <c r="W17" i="7"/>
  <c r="U51" i="7" s="1"/>
  <c r="W13" i="7"/>
  <c r="U47" i="7" s="1"/>
  <c r="W9" i="7"/>
  <c r="U43" i="7" s="1"/>
  <c r="V18" i="7"/>
  <c r="V14" i="7"/>
  <c r="V10" i="7"/>
  <c r="O18" i="7"/>
  <c r="S52" i="7" s="1"/>
  <c r="O10" i="7"/>
  <c r="S44" i="7" s="1"/>
  <c r="N15" i="7"/>
  <c r="N7" i="7"/>
  <c r="N22" i="7"/>
  <c r="S23" i="7"/>
  <c r="T57" i="7" s="1"/>
  <c r="C39" i="7"/>
  <c r="N23" i="7"/>
  <c r="Z20" i="7"/>
  <c r="D51" i="7"/>
  <c r="D74" i="7" s="1"/>
  <c r="T17" i="7"/>
  <c r="Z12" i="7"/>
  <c r="D43" i="7"/>
  <c r="D66" i="7" s="1"/>
  <c r="T9" i="7"/>
  <c r="AA17" i="7"/>
  <c r="V51" i="7" s="1"/>
  <c r="AA9" i="7"/>
  <c r="V43" i="7" s="1"/>
  <c r="O17" i="7"/>
  <c r="S51" i="7" s="1"/>
  <c r="O9" i="7"/>
  <c r="S43" i="7" s="1"/>
  <c r="W22" i="7" l="1"/>
  <c r="U56" i="7" s="1"/>
  <c r="O22" i="7"/>
  <c r="S56" i="7" s="1"/>
  <c r="D64" i="5"/>
  <c r="L24" i="5"/>
  <c r="U39" i="7"/>
  <c r="R10" i="5"/>
  <c r="D44" i="5" s="1"/>
  <c r="L24" i="7"/>
  <c r="R19" i="5"/>
  <c r="D53" i="5" s="1"/>
  <c r="N7" i="5"/>
  <c r="C41" i="5" s="1"/>
  <c r="C64" i="5" s="1"/>
  <c r="Z5" i="5"/>
  <c r="F39" i="5" s="1"/>
  <c r="F62" i="5" s="1"/>
  <c r="E39" i="5"/>
  <c r="E62" i="7"/>
  <c r="H25" i="5"/>
  <c r="S5" i="5"/>
  <c r="T39" i="5" s="1"/>
  <c r="O5" i="5"/>
  <c r="S39" i="5" s="1"/>
  <c r="R5" i="5"/>
  <c r="N5" i="5"/>
  <c r="W5" i="5"/>
  <c r="U39" i="5" s="1"/>
  <c r="E62" i="5" s="1"/>
  <c r="D79" i="5"/>
  <c r="C51" i="5"/>
  <c r="P17" i="5"/>
  <c r="C57" i="5"/>
  <c r="C80" i="5" s="1"/>
  <c r="P23" i="5"/>
  <c r="O22" i="5"/>
  <c r="S56" i="5" s="1"/>
  <c r="R12" i="5"/>
  <c r="D46" i="5" s="1"/>
  <c r="N22" i="5"/>
  <c r="R17" i="5"/>
  <c r="D51" i="5" s="1"/>
  <c r="T13" i="5"/>
  <c r="D47" i="5"/>
  <c r="D70" i="5" s="1"/>
  <c r="T46" i="5"/>
  <c r="D69" i="5" s="1"/>
  <c r="D52" i="5"/>
  <c r="D42" i="5"/>
  <c r="D49" i="5"/>
  <c r="D72" i="5" s="1"/>
  <c r="T15" i="5"/>
  <c r="T44" i="5"/>
  <c r="D67" i="5" s="1"/>
  <c r="D54" i="5"/>
  <c r="N18" i="5"/>
  <c r="Z21" i="5"/>
  <c r="V21" i="5"/>
  <c r="N13" i="5"/>
  <c r="Z16" i="5"/>
  <c r="V16" i="5"/>
  <c r="N8" i="5"/>
  <c r="AA20" i="5"/>
  <c r="V54" i="5" s="1"/>
  <c r="W20" i="5"/>
  <c r="U54" i="5" s="1"/>
  <c r="N20" i="5"/>
  <c r="Z23" i="5"/>
  <c r="V23" i="5"/>
  <c r="E57" i="5" s="1"/>
  <c r="N15" i="5"/>
  <c r="AA8" i="5"/>
  <c r="V42" i="5" s="1"/>
  <c r="W8" i="5"/>
  <c r="U42" i="5" s="1"/>
  <c r="S51" i="5"/>
  <c r="AA17" i="5"/>
  <c r="V51" i="5" s="1"/>
  <c r="W17" i="5"/>
  <c r="U51" i="5" s="1"/>
  <c r="O12" i="5"/>
  <c r="W23" i="5"/>
  <c r="U57" i="5" s="1"/>
  <c r="AA23" i="5"/>
  <c r="V57" i="5" s="1"/>
  <c r="O15" i="5"/>
  <c r="S49" i="5" s="1"/>
  <c r="AA18" i="5"/>
  <c r="V52" i="5" s="1"/>
  <c r="W18" i="5"/>
  <c r="U52" i="5" s="1"/>
  <c r="O10" i="5"/>
  <c r="C74" i="5"/>
  <c r="W19" i="5"/>
  <c r="U53" i="5" s="1"/>
  <c r="AA19" i="5"/>
  <c r="V53" i="5" s="1"/>
  <c r="AA14" i="5"/>
  <c r="V48" i="5" s="1"/>
  <c r="W14" i="5"/>
  <c r="U48" i="5" s="1"/>
  <c r="AA6" i="5"/>
  <c r="W6" i="5"/>
  <c r="U40" i="5" s="1"/>
  <c r="T40" i="7"/>
  <c r="S24" i="7"/>
  <c r="K6" i="5"/>
  <c r="E24" i="5"/>
  <c r="V11" i="5"/>
  <c r="Z11" i="5"/>
  <c r="AA21" i="5"/>
  <c r="V55" i="5" s="1"/>
  <c r="W21" i="5"/>
  <c r="U55" i="5" s="1"/>
  <c r="AA16" i="5"/>
  <c r="V50" i="5" s="1"/>
  <c r="W16" i="5"/>
  <c r="U50" i="5" s="1"/>
  <c r="Z14" i="5"/>
  <c r="V14" i="5"/>
  <c r="Z9" i="5"/>
  <c r="V9" i="5"/>
  <c r="T7" i="5"/>
  <c r="T22" i="5"/>
  <c r="Z10" i="5"/>
  <c r="V10" i="5"/>
  <c r="O19" i="5"/>
  <c r="R21" i="5"/>
  <c r="AA22" i="5"/>
  <c r="V56" i="5" s="1"/>
  <c r="W22" i="5"/>
  <c r="U56" i="5" s="1"/>
  <c r="O14" i="5"/>
  <c r="S48" i="5" s="1"/>
  <c r="O6" i="5"/>
  <c r="K6" i="7"/>
  <c r="N6" i="7" s="1"/>
  <c r="E24" i="7"/>
  <c r="R16" i="5"/>
  <c r="V19" i="5"/>
  <c r="Z19" i="5"/>
  <c r="N11" i="5"/>
  <c r="S20" i="5"/>
  <c r="T54" i="5" s="1"/>
  <c r="Z12" i="5"/>
  <c r="V12" i="5"/>
  <c r="O21" i="5"/>
  <c r="R23" i="5"/>
  <c r="Z7" i="5"/>
  <c r="V7" i="5"/>
  <c r="O16" i="5"/>
  <c r="S50" i="5" s="1"/>
  <c r="C73" i="5" s="1"/>
  <c r="S8" i="5"/>
  <c r="T42" i="5" s="1"/>
  <c r="S17" i="5"/>
  <c r="T51" i="5" s="1"/>
  <c r="Z22" i="5"/>
  <c r="V22" i="5"/>
  <c r="N14" i="5"/>
  <c r="S23" i="5"/>
  <c r="T57" i="5" s="1"/>
  <c r="Z17" i="5"/>
  <c r="V17" i="5"/>
  <c r="N9" i="5"/>
  <c r="S18" i="5"/>
  <c r="T52" i="5" s="1"/>
  <c r="Z18" i="5"/>
  <c r="V18" i="5"/>
  <c r="S19" i="5"/>
  <c r="Z13" i="5"/>
  <c r="V13" i="5"/>
  <c r="S14" i="5"/>
  <c r="T48" i="5" s="1"/>
  <c r="S6" i="5"/>
  <c r="Z8" i="5"/>
  <c r="V8" i="5"/>
  <c r="R11" i="5"/>
  <c r="Z20" i="5"/>
  <c r="V20" i="5"/>
  <c r="S21" i="5"/>
  <c r="T55" i="5" s="1"/>
  <c r="V15" i="5"/>
  <c r="Z15" i="5"/>
  <c r="S16" i="5"/>
  <c r="T50" i="5" s="1"/>
  <c r="AA12" i="5"/>
  <c r="V46" i="5" s="1"/>
  <c r="W12" i="5"/>
  <c r="U46" i="5" s="1"/>
  <c r="R14" i="5"/>
  <c r="AA15" i="5"/>
  <c r="V49" i="5" s="1"/>
  <c r="W15" i="5"/>
  <c r="U49" i="5" s="1"/>
  <c r="R9" i="5"/>
  <c r="AA10" i="5"/>
  <c r="V44" i="5" s="1"/>
  <c r="W10" i="5"/>
  <c r="U44" i="5" s="1"/>
  <c r="T7" i="7"/>
  <c r="D62" i="7"/>
  <c r="D64" i="7"/>
  <c r="C57" i="7"/>
  <c r="C80" i="7" s="1"/>
  <c r="P23" i="7"/>
  <c r="E48" i="7"/>
  <c r="E71" i="7" s="1"/>
  <c r="X14" i="7"/>
  <c r="C56" i="7"/>
  <c r="C79" i="7" s="1"/>
  <c r="P22" i="7"/>
  <c r="E52" i="7"/>
  <c r="E75" i="7" s="1"/>
  <c r="X18" i="7"/>
  <c r="F51" i="7"/>
  <c r="F74" i="7" s="1"/>
  <c r="AB17" i="7"/>
  <c r="D72" i="7"/>
  <c r="E41" i="7"/>
  <c r="E64" i="7" s="1"/>
  <c r="X7" i="7"/>
  <c r="AB11" i="7"/>
  <c r="F45" i="7"/>
  <c r="F68" i="7" s="1"/>
  <c r="C43" i="7"/>
  <c r="C66" i="7" s="1"/>
  <c r="P9" i="7"/>
  <c r="E42" i="7"/>
  <c r="E65" i="7" s="1"/>
  <c r="X8" i="7"/>
  <c r="T19" i="7"/>
  <c r="C73" i="7"/>
  <c r="P8" i="7"/>
  <c r="X13" i="7"/>
  <c r="X21" i="7"/>
  <c r="P10" i="7"/>
  <c r="F54" i="7"/>
  <c r="F77" i="7" s="1"/>
  <c r="AB20" i="7"/>
  <c r="F46" i="7"/>
  <c r="F69" i="7" s="1"/>
  <c r="AB12" i="7"/>
  <c r="C41" i="7"/>
  <c r="C64" i="7" s="1"/>
  <c r="P7" i="7"/>
  <c r="F52" i="7"/>
  <c r="F75" i="7" s="1"/>
  <c r="AB18" i="7"/>
  <c r="E45" i="7"/>
  <c r="E68" i="7" s="1"/>
  <c r="X11" i="7"/>
  <c r="E57" i="7"/>
  <c r="E80" i="7" s="1"/>
  <c r="X23" i="7"/>
  <c r="C47" i="7"/>
  <c r="C70" i="7" s="1"/>
  <c r="P13" i="7"/>
  <c r="E46" i="7"/>
  <c r="E69" i="7" s="1"/>
  <c r="X12" i="7"/>
  <c r="T11" i="7"/>
  <c r="D76" i="7"/>
  <c r="F56" i="7"/>
  <c r="F79" i="7" s="1"/>
  <c r="AB22" i="7"/>
  <c r="C65" i="7"/>
  <c r="E70" i="7"/>
  <c r="E78" i="7"/>
  <c r="C67" i="7"/>
  <c r="C49" i="7"/>
  <c r="C72" i="7" s="1"/>
  <c r="P15" i="7"/>
  <c r="E44" i="7"/>
  <c r="E67" i="7" s="1"/>
  <c r="X10" i="7"/>
  <c r="F43" i="7"/>
  <c r="F66" i="7" s="1"/>
  <c r="AB9" i="7"/>
  <c r="F44" i="7"/>
  <c r="F67" i="7" s="1"/>
  <c r="AB10" i="7"/>
  <c r="C46" i="7"/>
  <c r="C69" i="7" s="1"/>
  <c r="P12" i="7"/>
  <c r="E49" i="7"/>
  <c r="E72" i="7" s="1"/>
  <c r="X15" i="7"/>
  <c r="S39" i="7"/>
  <c r="C62" i="7" s="1"/>
  <c r="O24" i="7"/>
  <c r="D50" i="7"/>
  <c r="D73" i="7" s="1"/>
  <c r="T16" i="7"/>
  <c r="AA24" i="7"/>
  <c r="V39" i="7"/>
  <c r="F62" i="7" s="1"/>
  <c r="W24" i="7"/>
  <c r="F50" i="7"/>
  <c r="F73" i="7" s="1"/>
  <c r="AB16" i="7"/>
  <c r="D57" i="7"/>
  <c r="D80" i="7" s="1"/>
  <c r="T23" i="7"/>
  <c r="C51" i="7"/>
  <c r="C74" i="7" s="1"/>
  <c r="P17" i="7"/>
  <c r="E50" i="7"/>
  <c r="E73" i="7" s="1"/>
  <c r="X16" i="7"/>
  <c r="D44" i="7"/>
  <c r="D67" i="7" s="1"/>
  <c r="T10" i="7"/>
  <c r="D52" i="7"/>
  <c r="D75" i="7" s="1"/>
  <c r="T18" i="7"/>
  <c r="D68" i="7"/>
  <c r="D56" i="7"/>
  <c r="D79" i="7" s="1"/>
  <c r="T22" i="7"/>
  <c r="AB5" i="7"/>
  <c r="X9" i="7"/>
  <c r="X17" i="7"/>
  <c r="P18" i="7"/>
  <c r="T14" i="7"/>
  <c r="D48" i="7"/>
  <c r="D71" i="7" s="1"/>
  <c r="C54" i="7"/>
  <c r="C77" i="7" s="1"/>
  <c r="P20" i="7"/>
  <c r="E53" i="7"/>
  <c r="E76" i="7" s="1"/>
  <c r="X19" i="7"/>
  <c r="T8" i="7"/>
  <c r="D42" i="7"/>
  <c r="D65" i="7" s="1"/>
  <c r="F53" i="7"/>
  <c r="F76" i="7" s="1"/>
  <c r="AB19" i="7"/>
  <c r="F42" i="7"/>
  <c r="F65" i="7" s="1"/>
  <c r="AB8" i="7"/>
  <c r="F57" i="7"/>
  <c r="F80" i="7" s="1"/>
  <c r="AB23" i="7"/>
  <c r="C55" i="7"/>
  <c r="C78" i="7" s="1"/>
  <c r="P21" i="7"/>
  <c r="E54" i="7"/>
  <c r="E77" i="7" s="1"/>
  <c r="X20" i="7"/>
  <c r="F47" i="7"/>
  <c r="F70" i="7" s="1"/>
  <c r="AB13" i="7"/>
  <c r="F55" i="7"/>
  <c r="F78" i="7" s="1"/>
  <c r="AB21" i="7"/>
  <c r="E56" i="7"/>
  <c r="E79" i="7" s="1"/>
  <c r="X22" i="7"/>
  <c r="F48" i="7"/>
  <c r="F71" i="7" s="1"/>
  <c r="AB14" i="7"/>
  <c r="P16" i="7"/>
  <c r="E66" i="7"/>
  <c r="E74" i="7"/>
  <c r="C75" i="7"/>
  <c r="T10" i="5" l="1"/>
  <c r="AB5" i="5"/>
  <c r="P7" i="5"/>
  <c r="T5" i="5"/>
  <c r="D39" i="5"/>
  <c r="D62" i="5" s="1"/>
  <c r="X5" i="5"/>
  <c r="C39" i="5"/>
  <c r="C62" i="5" s="1"/>
  <c r="P5" i="5"/>
  <c r="T8" i="5"/>
  <c r="P22" i="5"/>
  <c r="C56" i="5"/>
  <c r="C79" i="5" s="1"/>
  <c r="E80" i="5"/>
  <c r="D77" i="5"/>
  <c r="T12" i="5"/>
  <c r="P6" i="7"/>
  <c r="P24" i="7" s="1"/>
  <c r="C40" i="7"/>
  <c r="C63" i="7" s="1"/>
  <c r="N24" i="7"/>
  <c r="X20" i="5"/>
  <c r="E54" i="5"/>
  <c r="E77" i="5" s="1"/>
  <c r="E47" i="5"/>
  <c r="E70" i="5" s="1"/>
  <c r="X13" i="5"/>
  <c r="F49" i="5"/>
  <c r="F72" i="5" s="1"/>
  <c r="AB15" i="5"/>
  <c r="AB20" i="5"/>
  <c r="F54" i="5"/>
  <c r="F77" i="5" s="1"/>
  <c r="AB8" i="5"/>
  <c r="F42" i="5"/>
  <c r="F65" i="5" s="1"/>
  <c r="AB13" i="5"/>
  <c r="F47" i="5"/>
  <c r="F70" i="5" s="1"/>
  <c r="X17" i="5"/>
  <c r="P14" i="5"/>
  <c r="C48" i="5"/>
  <c r="C71" i="5" s="1"/>
  <c r="D57" i="5"/>
  <c r="D80" i="5" s="1"/>
  <c r="T23" i="5"/>
  <c r="D50" i="5"/>
  <c r="D73" i="5" s="1"/>
  <c r="T16" i="5"/>
  <c r="S40" i="5"/>
  <c r="O24" i="5"/>
  <c r="F44" i="5"/>
  <c r="F67" i="5" s="1"/>
  <c r="AB10" i="5"/>
  <c r="E43" i="5"/>
  <c r="E66" i="5" s="1"/>
  <c r="X9" i="5"/>
  <c r="E25" i="5"/>
  <c r="K25" i="5" s="1"/>
  <c r="P31" i="5" s="1"/>
  <c r="K24" i="5"/>
  <c r="S44" i="5"/>
  <c r="C67" i="5" s="1"/>
  <c r="P10" i="5"/>
  <c r="T17" i="5"/>
  <c r="AB16" i="5"/>
  <c r="F50" i="5"/>
  <c r="F73" i="5" s="1"/>
  <c r="C52" i="5"/>
  <c r="C75" i="5" s="1"/>
  <c r="P18" i="5"/>
  <c r="T20" i="5"/>
  <c r="D65" i="5"/>
  <c r="C45" i="5"/>
  <c r="C68" i="5" s="1"/>
  <c r="P11" i="5"/>
  <c r="D55" i="5"/>
  <c r="D78" i="5" s="1"/>
  <c r="T21" i="5"/>
  <c r="F43" i="5"/>
  <c r="F66" i="5" s="1"/>
  <c r="AB9" i="5"/>
  <c r="Z6" i="5"/>
  <c r="V6" i="5"/>
  <c r="D74" i="5"/>
  <c r="C49" i="5"/>
  <c r="C72" i="5" s="1"/>
  <c r="P15" i="5"/>
  <c r="P20" i="5"/>
  <c r="C54" i="5"/>
  <c r="C77" i="5" s="1"/>
  <c r="C47" i="5"/>
  <c r="C70" i="5" s="1"/>
  <c r="P13" i="5"/>
  <c r="T18" i="5"/>
  <c r="P16" i="5"/>
  <c r="T9" i="5"/>
  <c r="D43" i="5"/>
  <c r="D66" i="5" s="1"/>
  <c r="D48" i="5"/>
  <c r="D71" i="5" s="1"/>
  <c r="T14" i="5"/>
  <c r="X15" i="5"/>
  <c r="E49" i="5"/>
  <c r="E72" i="5" s="1"/>
  <c r="T40" i="5"/>
  <c r="S24" i="5"/>
  <c r="T53" i="5"/>
  <c r="D76" i="5" s="1"/>
  <c r="T19" i="5"/>
  <c r="AB17" i="5"/>
  <c r="F51" i="5"/>
  <c r="F74" i="5" s="1"/>
  <c r="X22" i="5"/>
  <c r="E56" i="5"/>
  <c r="E79" i="5" s="1"/>
  <c r="S55" i="5"/>
  <c r="C78" i="5" s="1"/>
  <c r="P21" i="5"/>
  <c r="D45" i="5"/>
  <c r="D68" i="5" s="1"/>
  <c r="T11" i="5"/>
  <c r="X18" i="5"/>
  <c r="E52" i="5"/>
  <c r="E75" i="5" s="1"/>
  <c r="E51" i="5"/>
  <c r="E74" i="5" s="1"/>
  <c r="F56" i="5"/>
  <c r="F79" i="5" s="1"/>
  <c r="AB22" i="5"/>
  <c r="E41" i="5"/>
  <c r="E64" i="5" s="1"/>
  <c r="X7" i="5"/>
  <c r="X12" i="5"/>
  <c r="E46" i="5"/>
  <c r="E69" i="5" s="1"/>
  <c r="F53" i="5"/>
  <c r="F76" i="5" s="1"/>
  <c r="AB19" i="5"/>
  <c r="K24" i="7"/>
  <c r="E25" i="7"/>
  <c r="L25" i="7" s="1"/>
  <c r="P31" i="7" s="1"/>
  <c r="S53" i="5"/>
  <c r="C76" i="5" s="1"/>
  <c r="P19" i="5"/>
  <c r="X14" i="5"/>
  <c r="E48" i="5"/>
  <c r="E71" i="5" s="1"/>
  <c r="F45" i="5"/>
  <c r="F68" i="5" s="1"/>
  <c r="AB11" i="5"/>
  <c r="N6" i="5"/>
  <c r="W24" i="5"/>
  <c r="S46" i="5"/>
  <c r="C69" i="5" s="1"/>
  <c r="P12" i="5"/>
  <c r="X23" i="5"/>
  <c r="C42" i="5"/>
  <c r="C65" i="5" s="1"/>
  <c r="P8" i="5"/>
  <c r="X21" i="5"/>
  <c r="E55" i="5"/>
  <c r="E78" i="5" s="1"/>
  <c r="D75" i="5"/>
  <c r="X8" i="5"/>
  <c r="E42" i="5"/>
  <c r="E65" i="5" s="1"/>
  <c r="F52" i="5"/>
  <c r="F75" i="5" s="1"/>
  <c r="AB18" i="5"/>
  <c r="P9" i="5"/>
  <c r="C43" i="5"/>
  <c r="C66" i="5" s="1"/>
  <c r="F41" i="5"/>
  <c r="F64" i="5" s="1"/>
  <c r="AB7" i="5"/>
  <c r="AB12" i="5"/>
  <c r="F46" i="5"/>
  <c r="F69" i="5" s="1"/>
  <c r="X19" i="5"/>
  <c r="E53" i="5"/>
  <c r="E76" i="5" s="1"/>
  <c r="Z6" i="7"/>
  <c r="V6" i="7"/>
  <c r="R6" i="7"/>
  <c r="X10" i="5"/>
  <c r="E44" i="5"/>
  <c r="E67" i="5" s="1"/>
  <c r="F48" i="5"/>
  <c r="F71" i="5" s="1"/>
  <c r="AB14" i="5"/>
  <c r="X11" i="5"/>
  <c r="E45" i="5"/>
  <c r="E68" i="5" s="1"/>
  <c r="R6" i="5"/>
  <c r="V40" i="5"/>
  <c r="AA24" i="5"/>
  <c r="F57" i="5"/>
  <c r="F80" i="5" s="1"/>
  <c r="AB23" i="5"/>
  <c r="X16" i="5"/>
  <c r="E50" i="5"/>
  <c r="E73" i="5" s="1"/>
  <c r="F55" i="5"/>
  <c r="F78" i="5" s="1"/>
  <c r="AB21" i="5"/>
  <c r="E40" i="7" l="1"/>
  <c r="E63" i="7" s="1"/>
  <c r="V24" i="7"/>
  <c r="X6" i="7"/>
  <c r="X24" i="7" s="1"/>
  <c r="Z24" i="7"/>
  <c r="F40" i="7"/>
  <c r="F63" i="7" s="1"/>
  <c r="AB6" i="7"/>
  <c r="AB24" i="7" s="1"/>
  <c r="U30" i="7"/>
  <c r="U31" i="7"/>
  <c r="V24" i="5"/>
  <c r="E40" i="5"/>
  <c r="E63" i="5" s="1"/>
  <c r="X6" i="5"/>
  <c r="X24" i="5" s="1"/>
  <c r="T6" i="7"/>
  <c r="T24" i="7" s="1"/>
  <c r="R24" i="7"/>
  <c r="D40" i="7"/>
  <c r="D63" i="7" s="1"/>
  <c r="P6" i="5"/>
  <c r="P24" i="5" s="1"/>
  <c r="C40" i="5"/>
  <c r="C63" i="5" s="1"/>
  <c r="N24" i="5"/>
  <c r="F40" i="5"/>
  <c r="F63" i="5" s="1"/>
  <c r="AB6" i="5"/>
  <c r="AB24" i="5" s="1"/>
  <c r="Z24" i="5"/>
  <c r="R24" i="5"/>
  <c r="D40" i="5"/>
  <c r="D63" i="5" s="1"/>
  <c r="T6" i="5"/>
  <c r="T24" i="5" s="1"/>
  <c r="U31" i="5"/>
  <c r="V31" i="5" s="1"/>
  <c r="U30" i="5"/>
  <c r="V30" i="5" s="1"/>
</calcChain>
</file>

<file path=xl/sharedStrings.xml><?xml version="1.0" encoding="utf-8"?>
<sst xmlns="http://schemas.openxmlformats.org/spreadsheetml/2006/main" count="217" uniqueCount="71">
  <si>
    <t>Tabla Prorrateada</t>
  </si>
  <si>
    <t>Edad</t>
  </si>
  <si>
    <t>Hombres</t>
  </si>
  <si>
    <t>Mujeres</t>
  </si>
  <si>
    <t>Población Corregida 2020</t>
  </si>
  <si>
    <t>Población Corregida 2010</t>
  </si>
  <si>
    <t>HOMBRES</t>
  </si>
  <si>
    <t>MUJERES</t>
  </si>
  <si>
    <t>0 -- 4</t>
  </si>
  <si>
    <t>5 -- 9</t>
  </si>
  <si>
    <t>10 -- 14</t>
  </si>
  <si>
    <t>15 -- 19</t>
  </si>
  <si>
    <t>20 -- 24</t>
  </si>
  <si>
    <t>25 -- 29</t>
  </si>
  <si>
    <t>30 -- 34</t>
  </si>
  <si>
    <t>35 -- 39</t>
  </si>
  <si>
    <t>40 -- 44</t>
  </si>
  <si>
    <t>45 -- 49</t>
  </si>
  <si>
    <t>50 -- 54</t>
  </si>
  <si>
    <t>55 -- 59</t>
  </si>
  <si>
    <t>60 -- 64</t>
  </si>
  <si>
    <t>65 -- 69</t>
  </si>
  <si>
    <t>70 -- 74</t>
  </si>
  <si>
    <t>75 -- 79</t>
  </si>
  <si>
    <t>80 -- 84</t>
  </si>
  <si>
    <t>85 y más</t>
  </si>
  <si>
    <t>Grupo Quintenal</t>
  </si>
  <si>
    <t>Censo del 2010</t>
  </si>
  <si>
    <t>Censo del 2020</t>
  </si>
  <si>
    <t>Menor 1</t>
  </si>
  <si>
    <t>1-- 4</t>
  </si>
  <si>
    <t xml:space="preserve">Grupos </t>
  </si>
  <si>
    <t>Edad inicial</t>
  </si>
  <si>
    <t>Edad final</t>
  </si>
  <si>
    <t>Totales</t>
  </si>
  <si>
    <t>Total Global</t>
  </si>
  <si>
    <t>Censo 2010</t>
  </si>
  <si>
    <t>Tasa Geométrica</t>
  </si>
  <si>
    <t>Fechas censales</t>
  </si>
  <si>
    <t>Censo</t>
  </si>
  <si>
    <t>Inicio</t>
  </si>
  <si>
    <t>Fin</t>
  </si>
  <si>
    <t>Referencia</t>
  </si>
  <si>
    <t>n</t>
  </si>
  <si>
    <t>2010 - 2020</t>
  </si>
  <si>
    <t>n1</t>
  </si>
  <si>
    <t>2010 - 2010</t>
  </si>
  <si>
    <t>n2</t>
  </si>
  <si>
    <t>2010 - 2015</t>
  </si>
  <si>
    <t>n3</t>
  </si>
  <si>
    <t>2020 - 2020</t>
  </si>
  <si>
    <t>n4</t>
  </si>
  <si>
    <t>2020 - 2025</t>
  </si>
  <si>
    <t>TOTALES</t>
  </si>
  <si>
    <t>Proyección mitad de año 2010</t>
  </si>
  <si>
    <t>Proyección 2015</t>
  </si>
  <si>
    <t>Proyección 2025</t>
  </si>
  <si>
    <t>Proyección mitad de año 2020</t>
  </si>
  <si>
    <t>Tiempo de Duplicación Población</t>
  </si>
  <si>
    <t>Año que se duplicará población 2010</t>
  </si>
  <si>
    <t>Año que se duplicará población 2020</t>
  </si>
  <si>
    <t>Censo 2020</t>
  </si>
  <si>
    <t>Total</t>
  </si>
  <si>
    <t>Tasa Exponencial</t>
  </si>
  <si>
    <t>censo 2010</t>
  </si>
  <si>
    <t>censo 2020</t>
  </si>
  <si>
    <t>Quinquenios</t>
  </si>
  <si>
    <t>DATOS</t>
  </si>
  <si>
    <t>PIRAMIDE POBLACIONAL</t>
  </si>
  <si>
    <t>GEOMETRICO</t>
  </si>
  <si>
    <t>EXPONENCIAL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</si>
</sst>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d/m/yyyy"/>
    <numFmt numFmtId="165" formatCode="0.000"/>
    <numFmt numFmtId="166" formatCode="0.000000"/>
    <numFmt numFmtId="167" formatCode="0.000000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12"/>
      <color rgb="FFFFFFFF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14"/>
      <color theme="1"/>
      <name val="Arial"/>
      <family val="2"/>
    </font>
    <font>
      <sz val="14"/>
      <color theme="0"/>
      <name val="Arial"/>
      <family val="2"/>
    </font>
    <font>
      <b/>
      <sz val="12"/>
      <color theme="1"/>
      <name val="Arial"/>
      <family val="2"/>
    </font>
    <font>
      <sz val="12"/>
      <color rgb="FFFFFFFF"/>
      <name val="Calibri"/>
      <family val="2"/>
      <scheme val="minor"/>
    </font>
    <font>
      <sz val="12"/>
      <color rgb="FFFFFFFF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rgb="FFFF9300"/>
      </patternFill>
    </fill>
    <fill>
      <patternFill patternType="solid">
        <fgColor theme="4" tint="0.59999389629810485"/>
        <bgColor rgb="FFF1A983"/>
      </patternFill>
    </fill>
    <fill>
      <patternFill patternType="solid">
        <fgColor theme="7" tint="0.79998168889431442"/>
        <bgColor rgb="FFFAE2D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F1A983"/>
      </patternFill>
    </fill>
    <fill>
      <patternFill patternType="solid">
        <fgColor theme="6"/>
        <bgColor rgb="FFF1A983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wrapText="1"/>
    </xf>
    <xf numFmtId="0" fontId="23" fillId="0" borderId="0" xfId="0" applyFont="1"/>
    <xf numFmtId="0" fontId="0" fillId="0" borderId="0" xfId="0"/>
    <xf numFmtId="0" fontId="0" fillId="0" borderId="0" xfId="0"/>
    <xf numFmtId="0" fontId="0" fillId="0" borderId="10" xfId="0" applyBorder="1"/>
    <xf numFmtId="167" fontId="0" fillId="0" borderId="0" xfId="0" applyNumberFormat="1"/>
    <xf numFmtId="3" fontId="0" fillId="0" borderId="10" xfId="0" applyNumberFormat="1" applyBorder="1"/>
    <xf numFmtId="0" fontId="0" fillId="0" borderId="0" xfId="0" applyBorder="1"/>
    <xf numFmtId="0" fontId="33" fillId="41" borderId="10" xfId="0" applyFont="1" applyFill="1" applyBorder="1" applyAlignment="1">
      <alignment horizontal="center" vertical="center"/>
    </xf>
    <xf numFmtId="0" fontId="25" fillId="34" borderId="10" xfId="0" applyFont="1" applyFill="1" applyBorder="1" applyAlignment="1">
      <alignment horizontal="center" vertical="center" wrapText="1"/>
    </xf>
    <xf numFmtId="0" fontId="25" fillId="37" borderId="10" xfId="0" applyFont="1" applyFill="1" applyBorder="1" applyAlignment="1">
      <alignment horizontal="center" vertical="center" wrapText="1"/>
    </xf>
    <xf numFmtId="0" fontId="0" fillId="35" borderId="10" xfId="0" applyFill="1" applyBorder="1"/>
    <xf numFmtId="0" fontId="34" fillId="34" borderId="10" xfId="0" applyFont="1" applyFill="1" applyBorder="1" applyAlignment="1">
      <alignment horizontal="center" vertical="center" wrapText="1"/>
    </xf>
    <xf numFmtId="0" fontId="34" fillId="49" borderId="10" xfId="0" applyFont="1" applyFill="1" applyBorder="1" applyAlignment="1">
      <alignment horizontal="center" vertical="center" wrapText="1"/>
    </xf>
    <xf numFmtId="0" fontId="38" fillId="45" borderId="10" xfId="0" applyFont="1" applyFill="1" applyBorder="1" applyAlignment="1">
      <alignment horizontal="center" vertical="center"/>
    </xf>
    <xf numFmtId="0" fontId="34" fillId="47" borderId="10" xfId="0" applyFont="1" applyFill="1" applyBorder="1" applyAlignment="1">
      <alignment horizontal="center" vertical="center" wrapText="1"/>
    </xf>
    <xf numFmtId="0" fontId="35" fillId="47" borderId="10" xfId="0" applyFont="1" applyFill="1" applyBorder="1" applyAlignment="1">
      <alignment horizontal="center" vertical="center"/>
    </xf>
    <xf numFmtId="0" fontId="30" fillId="47" borderId="10" xfId="0" applyFont="1" applyFill="1" applyBorder="1" applyAlignment="1">
      <alignment horizontal="center" vertical="center"/>
    </xf>
    <xf numFmtId="0" fontId="39" fillId="45" borderId="10" xfId="0" applyFont="1" applyFill="1" applyBorder="1" applyAlignment="1">
      <alignment horizontal="center" vertical="center"/>
    </xf>
    <xf numFmtId="0" fontId="37" fillId="45" borderId="10" xfId="0" applyFont="1" applyFill="1" applyBorder="1" applyAlignment="1">
      <alignment horizontal="center" vertical="center"/>
    </xf>
    <xf numFmtId="0" fontId="30" fillId="44" borderId="10" xfId="0" applyFont="1" applyFill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0" xfId="0" applyFont="1" applyBorder="1"/>
    <xf numFmtId="0" fontId="29" fillId="44" borderId="10" xfId="0" applyFont="1" applyFill="1" applyBorder="1" applyAlignment="1">
      <alignment horizontal="center" vertical="center" wrapText="1"/>
    </xf>
    <xf numFmtId="0" fontId="27" fillId="34" borderId="10" xfId="0" applyFont="1" applyFill="1" applyBorder="1"/>
    <xf numFmtId="0" fontId="32" fillId="0" borderId="10" xfId="0" applyFont="1" applyBorder="1"/>
    <xf numFmtId="0" fontId="32" fillId="34" borderId="10" xfId="0" applyFont="1" applyFill="1" applyBorder="1"/>
    <xf numFmtId="0" fontId="32" fillId="0" borderId="10" xfId="0" applyFont="1" applyBorder="1" applyAlignment="1">
      <alignment horizontal="center" vertical="center"/>
    </xf>
    <xf numFmtId="0" fontId="32" fillId="44" borderId="10" xfId="0" applyFont="1" applyFill="1" applyBorder="1" applyAlignment="1">
      <alignment horizontal="center" vertical="center"/>
    </xf>
    <xf numFmtId="166" fontId="32" fillId="0" borderId="10" xfId="0" applyNumberFormat="1" applyFont="1" applyBorder="1" applyAlignment="1">
      <alignment horizontal="center" vertical="center"/>
    </xf>
    <xf numFmtId="0" fontId="32" fillId="47" borderId="10" xfId="0" applyFont="1" applyFill="1" applyBorder="1" applyAlignment="1">
      <alignment horizontal="center" vertical="center"/>
    </xf>
    <xf numFmtId="0" fontId="33" fillId="43" borderId="10" xfId="0" applyFont="1" applyFill="1" applyBorder="1"/>
    <xf numFmtId="0" fontId="40" fillId="0" borderId="10" xfId="0" applyFont="1" applyBorder="1"/>
    <xf numFmtId="0" fontId="41" fillId="43" borderId="10" xfId="0" applyFont="1" applyFill="1" applyBorder="1"/>
    <xf numFmtId="0" fontId="33" fillId="47" borderId="10" xfId="0" applyFont="1" applyFill="1" applyBorder="1"/>
    <xf numFmtId="0" fontId="18" fillId="0" borderId="10" xfId="0" applyFont="1" applyBorder="1"/>
    <xf numFmtId="0" fontId="26" fillId="43" borderId="10" xfId="0" applyFont="1" applyFill="1" applyBorder="1"/>
    <xf numFmtId="0" fontId="23" fillId="0" borderId="10" xfId="0" applyFont="1" applyBorder="1"/>
    <xf numFmtId="0" fontId="32" fillId="0" borderId="10" xfId="0" applyFont="1" applyBorder="1" applyAlignment="1"/>
    <xf numFmtId="0" fontId="30" fillId="0" borderId="0" xfId="0" applyFont="1"/>
    <xf numFmtId="0" fontId="42" fillId="40" borderId="10" xfId="43" applyFont="1" applyFill="1" applyBorder="1" applyAlignment="1">
      <alignment horizontal="center"/>
    </xf>
    <xf numFmtId="164" fontId="32" fillId="0" borderId="10" xfId="43" applyNumberFormat="1" applyFont="1" applyBorder="1"/>
    <xf numFmtId="164" fontId="42" fillId="40" borderId="10" xfId="43" applyNumberFormat="1" applyFont="1" applyFill="1" applyBorder="1"/>
    <xf numFmtId="0" fontId="42" fillId="39" borderId="10" xfId="43" applyFont="1" applyFill="1" applyBorder="1" applyAlignment="1">
      <alignment horizontal="center"/>
    </xf>
    <xf numFmtId="0" fontId="33" fillId="36" borderId="10" xfId="0" applyFont="1" applyFill="1" applyBorder="1" applyAlignment="1">
      <alignment vertical="center"/>
    </xf>
    <xf numFmtId="0" fontId="31" fillId="45" borderId="10" xfId="0" applyFont="1" applyFill="1" applyBorder="1" applyAlignment="1">
      <alignment horizontal="center" vertical="center"/>
    </xf>
    <xf numFmtId="0" fontId="33" fillId="44" borderId="10" xfId="0" applyFont="1" applyFill="1" applyBorder="1" applyAlignment="1">
      <alignment vertical="center"/>
    </xf>
    <xf numFmtId="0" fontId="31" fillId="44" borderId="10" xfId="0" applyFont="1" applyFill="1" applyBorder="1" applyAlignment="1">
      <alignment vertical="center"/>
    </xf>
    <xf numFmtId="0" fontId="30" fillId="0" borderId="10" xfId="0" applyFont="1" applyBorder="1" applyAlignment="1">
      <alignment horizontal="center"/>
    </xf>
    <xf numFmtId="0" fontId="30" fillId="35" borderId="10" xfId="0" applyFont="1" applyFill="1" applyBorder="1" applyAlignment="1">
      <alignment horizontal="center" vertical="center"/>
    </xf>
    <xf numFmtId="0" fontId="36" fillId="50" borderId="10" xfId="0" applyFont="1" applyFill="1" applyBorder="1"/>
    <xf numFmtId="0" fontId="35" fillId="33" borderId="10" xfId="0" applyFont="1" applyFill="1" applyBorder="1" applyAlignment="1">
      <alignment horizontal="center" vertical="center"/>
    </xf>
    <xf numFmtId="0" fontId="33" fillId="50" borderId="10" xfId="0" applyFont="1" applyFill="1" applyBorder="1"/>
    <xf numFmtId="0" fontId="36" fillId="34" borderId="10" xfId="0" applyFont="1" applyFill="1" applyBorder="1"/>
    <xf numFmtId="0" fontId="42" fillId="51" borderId="10" xfId="43" applyFont="1" applyFill="1" applyBorder="1" applyAlignment="1">
      <alignment horizontal="center"/>
    </xf>
    <xf numFmtId="165" fontId="0" fillId="0" borderId="10" xfId="0" applyNumberFormat="1" applyBorder="1" applyAlignment="1"/>
    <xf numFmtId="0" fontId="33" fillId="44" borderId="10" xfId="0" applyFont="1" applyFill="1" applyBorder="1" applyAlignment="1">
      <alignment horizontal="center" vertical="center"/>
    </xf>
    <xf numFmtId="0" fontId="32" fillId="0" borderId="10" xfId="0" applyFont="1" applyBorder="1" applyAlignment="1">
      <alignment horizontal="center"/>
    </xf>
    <xf numFmtId="0" fontId="29" fillId="48" borderId="10" xfId="0" applyFont="1" applyFill="1" applyBorder="1" applyAlignment="1">
      <alignment horizontal="center" wrapText="1"/>
    </xf>
    <xf numFmtId="0" fontId="29" fillId="48" borderId="10" xfId="0" applyFont="1" applyFill="1" applyBorder="1" applyAlignment="1">
      <alignment horizontal="center" vertical="center" wrapText="1"/>
    </xf>
    <xf numFmtId="0" fontId="24" fillId="48" borderId="10" xfId="0" applyFont="1" applyFill="1" applyBorder="1" applyAlignment="1">
      <alignment horizontal="center" vertical="center" wrapText="1"/>
    </xf>
    <xf numFmtId="0" fontId="24" fillId="48" borderId="10" xfId="0" applyFont="1" applyFill="1" applyBorder="1" applyAlignment="1">
      <alignment horizontal="center" wrapText="1"/>
    </xf>
    <xf numFmtId="0" fontId="24" fillId="44" borderId="10" xfId="0" applyFont="1" applyFill="1" applyBorder="1" applyAlignment="1">
      <alignment horizontal="center" wrapText="1"/>
    </xf>
    <xf numFmtId="0" fontId="26" fillId="43" borderId="10" xfId="0" applyFont="1" applyFill="1" applyBorder="1" applyAlignment="1">
      <alignment horizontal="center" vertical="center"/>
    </xf>
    <xf numFmtId="0" fontId="33" fillId="33" borderId="10" xfId="0" applyFont="1" applyFill="1" applyBorder="1" applyAlignment="1">
      <alignment horizontal="center" vertical="center"/>
    </xf>
    <xf numFmtId="0" fontId="32" fillId="0" borderId="10" xfId="0" applyFont="1" applyBorder="1" applyAlignment="1">
      <alignment horizontal="center"/>
    </xf>
    <xf numFmtId="0" fontId="36" fillId="47" borderId="10" xfId="0" applyFont="1" applyFill="1" applyBorder="1" applyAlignment="1">
      <alignment horizontal="center" vertical="center"/>
    </xf>
    <xf numFmtId="0" fontId="33" fillId="46" borderId="10" xfId="0" applyFont="1" applyFill="1" applyBorder="1" applyAlignment="1">
      <alignment horizontal="center" vertical="center"/>
    </xf>
    <xf numFmtId="0" fontId="33" fillId="43" borderId="10" xfId="0" applyFont="1" applyFill="1" applyBorder="1" applyAlignment="1">
      <alignment horizontal="center" vertical="center"/>
    </xf>
    <xf numFmtId="0" fontId="18" fillId="35" borderId="11" xfId="0" applyFont="1" applyFill="1" applyBorder="1" applyAlignment="1">
      <alignment horizontal="center"/>
    </xf>
    <xf numFmtId="0" fontId="18" fillId="35" borderId="12" xfId="0" applyFont="1" applyFill="1" applyBorder="1" applyAlignment="1">
      <alignment horizontal="center"/>
    </xf>
    <xf numFmtId="0" fontId="33" fillId="44" borderId="10" xfId="0" applyFont="1" applyFill="1" applyBorder="1" applyAlignment="1">
      <alignment horizontal="center" vertical="center"/>
    </xf>
    <xf numFmtId="0" fontId="33" fillId="34" borderId="10" xfId="0" applyFont="1" applyFill="1" applyBorder="1" applyAlignment="1">
      <alignment horizontal="center" vertical="center"/>
    </xf>
    <xf numFmtId="0" fontId="33" fillId="42" borderId="10" xfId="0" applyFont="1" applyFill="1" applyBorder="1" applyAlignment="1">
      <alignment horizontal="center" vertical="center"/>
    </xf>
    <xf numFmtId="0" fontId="33" fillId="47" borderId="10" xfId="0" applyFont="1" applyFill="1" applyBorder="1" applyAlignment="1">
      <alignment horizontal="center" vertical="center"/>
    </xf>
    <xf numFmtId="0" fontId="42" fillId="38" borderId="10" xfId="43" applyFont="1" applyFill="1" applyBorder="1" applyAlignment="1">
      <alignment horizontal="center"/>
    </xf>
    <xf numFmtId="0" fontId="33" fillId="41" borderId="10" xfId="0" applyFont="1" applyFill="1" applyBorder="1" applyAlignment="1">
      <alignment horizontal="center" vertical="center"/>
    </xf>
    <xf numFmtId="0" fontId="32" fillId="35" borderId="11" xfId="0" applyFont="1" applyFill="1" applyBorder="1" applyAlignment="1">
      <alignment horizontal="center"/>
    </xf>
    <xf numFmtId="0" fontId="32" fillId="35" borderId="12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30" fillId="35" borderId="11" xfId="0" applyFont="1" applyFill="1" applyBorder="1" applyAlignment="1">
      <alignment horizontal="center"/>
    </xf>
    <xf numFmtId="0" fontId="30" fillId="35" borderId="12" xfId="0" applyFont="1" applyFill="1" applyBorder="1" applyAlignment="1">
      <alignment horizontal="center"/>
    </xf>
    <xf numFmtId="0" fontId="0" fillId="35" borderId="11" xfId="0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26" fillId="33" borderId="13" xfId="0" applyFont="1" applyFill="1" applyBorder="1" applyAlignment="1">
      <alignment horizontal="center" vertical="center"/>
    </xf>
    <xf numFmtId="0" fontId="26" fillId="33" borderId="10" xfId="0" applyFont="1" applyFill="1" applyBorder="1" applyAlignment="1">
      <alignment horizontal="center" vertical="center"/>
    </xf>
    <xf numFmtId="0" fontId="33" fillId="50" borderId="10" xfId="0" applyFont="1" applyFill="1" applyBorder="1" applyAlignment="1">
      <alignment horizontal="center" vertical="center"/>
    </xf>
    <xf numFmtId="0" fontId="33" fillId="34" borderId="10" xfId="0" applyFont="1" applyFill="1" applyBorder="1" applyAlignment="1">
      <alignment horizontal="center" vertical="center" wrapText="1"/>
    </xf>
    <xf numFmtId="0" fontId="31" fillId="49" borderId="10" xfId="0" applyFont="1" applyFill="1" applyBorder="1" applyAlignment="1">
      <alignment horizontal="center" vertical="center" wrapText="1"/>
    </xf>
    <xf numFmtId="0" fontId="30" fillId="0" borderId="10" xfId="0" applyFont="1" applyBorder="1" applyAlignment="1">
      <alignment vertical="center"/>
    </xf>
    <xf numFmtId="0" fontId="0" fillId="35" borderId="10" xfId="0" applyFont="1" applyFill="1" applyBorder="1"/>
    <xf numFmtId="0" fontId="0" fillId="0" borderId="10" xfId="0" applyBorder="1" applyAlignment="1">
      <alignment horizontal="center" vertical="center"/>
    </xf>
    <xf numFmtId="0" fontId="24" fillId="33" borderId="10" xfId="0" applyFont="1" applyFill="1" applyBorder="1" applyAlignment="1">
      <alignment horizontal="center" vertical="center" wrapText="1"/>
    </xf>
    <xf numFmtId="3" fontId="0" fillId="35" borderId="10" xfId="0" applyNumberFormat="1" applyFill="1" applyBorder="1"/>
    <xf numFmtId="0" fontId="24" fillId="45" borderId="10" xfId="0" applyFont="1" applyFill="1" applyBorder="1" applyAlignment="1">
      <alignment horizontal="center" vertical="center" wrapText="1"/>
    </xf>
    <xf numFmtId="0" fontId="43" fillId="34" borderId="10" xfId="0" applyFont="1" applyFill="1" applyBorder="1" applyAlignment="1">
      <alignment horizontal="center" vertical="center" wrapText="1"/>
    </xf>
    <xf numFmtId="0" fontId="18" fillId="45" borderId="10" xfId="0" applyFont="1" applyFill="1" applyBorder="1" applyAlignment="1">
      <alignment horizontal="center" wrapText="1"/>
    </xf>
    <xf numFmtId="0" fontId="28" fillId="37" borderId="10" xfId="0" applyFont="1" applyFill="1" applyBorder="1" applyAlignment="1">
      <alignment horizontal="center" vertical="center" wrapText="1"/>
    </xf>
    <xf numFmtId="0" fontId="0" fillId="44" borderId="0" xfId="0" applyFill="1" applyAlignment="1">
      <alignment horizontal="center" vertical="center"/>
    </xf>
    <xf numFmtId="0" fontId="0" fillId="44" borderId="0" xfId="0" applyFill="1" applyAlignment="1">
      <alignment horizontal="center"/>
    </xf>
    <xf numFmtId="0" fontId="32" fillId="44" borderId="0" xfId="0" applyFont="1" applyFill="1" applyAlignment="1">
      <alignment horizontal="center" vertical="center"/>
    </xf>
    <xf numFmtId="0" fontId="32" fillId="45" borderId="10" xfId="0" applyFont="1" applyFill="1" applyBorder="1" applyAlignment="1">
      <alignment horizontal="center" wrapText="1"/>
    </xf>
    <xf numFmtId="3" fontId="32" fillId="0" borderId="10" xfId="0" applyNumberFormat="1" applyFont="1" applyBorder="1"/>
    <xf numFmtId="0" fontId="32" fillId="35" borderId="10" xfId="0" applyFont="1" applyFill="1" applyBorder="1"/>
    <xf numFmtId="0" fontId="44" fillId="34" borderId="10" xfId="0" applyFont="1" applyFill="1" applyBorder="1" applyAlignment="1">
      <alignment horizontal="center" vertical="center" wrapText="1"/>
    </xf>
    <xf numFmtId="0" fontId="44" fillId="37" borderId="10" xfId="0" applyFont="1" applyFill="1" applyBorder="1" applyAlignment="1">
      <alignment horizontal="center" vertical="center" wrapText="1"/>
    </xf>
    <xf numFmtId="0" fontId="33" fillId="44" borderId="10" xfId="0" applyFont="1" applyFill="1" applyBorder="1" applyAlignment="1">
      <alignment horizontal="center" vertical="center" wrapText="1"/>
    </xf>
    <xf numFmtId="0" fontId="33" fillId="44" borderId="10" xfId="0" applyFont="1" applyFill="1" applyBorder="1" applyAlignment="1">
      <alignment horizontal="center" wrapText="1"/>
    </xf>
    <xf numFmtId="0" fontId="42" fillId="52" borderId="10" xfId="43" applyFont="1" applyFill="1" applyBorder="1" applyAlignment="1">
      <alignment horizontal="center"/>
    </xf>
  </cellXfs>
  <cellStyles count="49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 2" xfId="45"/>
    <cellStyle name="Hipervínculo 3" xfId="47"/>
    <cellStyle name="Hipervínculo visitado 2" xfId="48"/>
    <cellStyle name="Incorrecto" xfId="7" builtinId="27" customBuiltin="1"/>
    <cellStyle name="Millares 2" xfId="44"/>
    <cellStyle name="Neutral" xfId="8" builtinId="28" customBuiltin="1"/>
    <cellStyle name="Normal" xfId="0" builtinId="0"/>
    <cellStyle name="Normal 2" xfId="43"/>
    <cellStyle name="Normal 3" xfId="42"/>
    <cellStyle name="Normal 4" xfId="46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CC0099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Piramide</a:t>
            </a:r>
            <a:r>
              <a:rPr lang="es-MX" baseline="0"/>
              <a:t> Poblacional</a:t>
            </a:r>
          </a:p>
          <a:p>
            <a:pPr>
              <a:defRPr/>
            </a:pPr>
            <a:r>
              <a:rPr lang="es-MX"/>
              <a:t>Censo</a:t>
            </a:r>
            <a:r>
              <a:rPr lang="es-MX" baseline="0"/>
              <a:t> 2010</a:t>
            </a:r>
            <a:endParaRPr lang="es-MX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Mujeres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Gráficas!$B$7:$B$25</c:f>
              <c:strCache>
                <c:ptCount val="19"/>
                <c:pt idx="0">
                  <c:v>Menor 1</c:v>
                </c:pt>
                <c:pt idx="1">
                  <c:v>1-- 4</c:v>
                </c:pt>
                <c:pt idx="2">
                  <c:v>5 -- 9</c:v>
                </c:pt>
                <c:pt idx="3">
                  <c:v>10 -- 14</c:v>
                </c:pt>
                <c:pt idx="4">
                  <c:v>15 -- 19</c:v>
                </c:pt>
                <c:pt idx="5">
                  <c:v>20 -- 24</c:v>
                </c:pt>
                <c:pt idx="6">
                  <c:v>25 -- 29</c:v>
                </c:pt>
                <c:pt idx="7">
                  <c:v>30 -- 34</c:v>
                </c:pt>
                <c:pt idx="8">
                  <c:v>35 -- 39</c:v>
                </c:pt>
                <c:pt idx="9">
                  <c:v>40 -- 44</c:v>
                </c:pt>
                <c:pt idx="10">
                  <c:v>45 -- 49</c:v>
                </c:pt>
                <c:pt idx="11">
                  <c:v>50 -- 54</c:v>
                </c:pt>
                <c:pt idx="12">
                  <c:v>55 -- 59</c:v>
                </c:pt>
                <c:pt idx="13">
                  <c:v>60 -- 64</c:v>
                </c:pt>
                <c:pt idx="14">
                  <c:v>65 -- 69</c:v>
                </c:pt>
                <c:pt idx="15">
                  <c:v>70 -- 74</c:v>
                </c:pt>
                <c:pt idx="16">
                  <c:v>75 -- 79</c:v>
                </c:pt>
                <c:pt idx="17">
                  <c:v>80 -- 84</c:v>
                </c:pt>
                <c:pt idx="18">
                  <c:v>85 y más</c:v>
                </c:pt>
              </c:strCache>
            </c:strRef>
          </c:cat>
          <c:val>
            <c:numRef>
              <c:f>Gráficas!$D$7:$D$25</c:f>
              <c:numCache>
                <c:formatCode>General</c:formatCode>
                <c:ptCount val="19"/>
                <c:pt idx="0">
                  <c:v>3868.9299915829729</c:v>
                </c:pt>
                <c:pt idx="1">
                  <c:v>17473.176994549362</c:v>
                </c:pt>
                <c:pt idx="2">
                  <c:v>22411.955536851056</c:v>
                </c:pt>
                <c:pt idx="3">
                  <c:v>22323.753991448139</c:v>
                </c:pt>
                <c:pt idx="4">
                  <c:v>23221.58095361646</c:v>
                </c:pt>
                <c:pt idx="5">
                  <c:v>23029.175854573386</c:v>
                </c:pt>
                <c:pt idx="6">
                  <c:v>21173.51439934707</c:v>
                </c:pt>
                <c:pt idx="7">
                  <c:v>20296.515447900238</c:v>
                </c:pt>
                <c:pt idx="8">
                  <c:v>20437.866520662577</c:v>
                </c:pt>
                <c:pt idx="9">
                  <c:v>18998.066779506582</c:v>
                </c:pt>
                <c:pt idx="10">
                  <c:v>16329.414405782412</c:v>
                </c:pt>
                <c:pt idx="11">
                  <c:v>13324.656359043402</c:v>
                </c:pt>
                <c:pt idx="12">
                  <c:v>9613.9684489176361</c:v>
                </c:pt>
                <c:pt idx="13">
                  <c:v>6244.9742146832168</c:v>
                </c:pt>
                <c:pt idx="14">
                  <c:v>3945.3840309387033</c:v>
                </c:pt>
                <c:pt idx="15">
                  <c:v>2548.1928117160114</c:v>
                </c:pt>
                <c:pt idx="16">
                  <c:v>1693.6728718405504</c:v>
                </c:pt>
                <c:pt idx="17">
                  <c:v>1096.2645643167089</c:v>
                </c:pt>
                <c:pt idx="18">
                  <c:v>880.87245344076598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5-4189-A42D-3C6BBE73AC47}"/>
            </c:ext>
          </c:extLst>
        </c:ser>
        <c:ser>
          <c:idx val="1"/>
          <c:order val="1"/>
          <c:tx>
            <c:v>Hombres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Gráficas!$B$7:$B$25</c:f>
              <c:strCache>
                <c:ptCount val="19"/>
                <c:pt idx="0">
                  <c:v>Menor 1</c:v>
                </c:pt>
                <c:pt idx="1">
                  <c:v>1-- 4</c:v>
                </c:pt>
                <c:pt idx="2">
                  <c:v>5 -- 9</c:v>
                </c:pt>
                <c:pt idx="3">
                  <c:v>10 -- 14</c:v>
                </c:pt>
                <c:pt idx="4">
                  <c:v>15 -- 19</c:v>
                </c:pt>
                <c:pt idx="5">
                  <c:v>20 -- 24</c:v>
                </c:pt>
                <c:pt idx="6">
                  <c:v>25 -- 29</c:v>
                </c:pt>
                <c:pt idx="7">
                  <c:v>30 -- 34</c:v>
                </c:pt>
                <c:pt idx="8">
                  <c:v>35 -- 39</c:v>
                </c:pt>
                <c:pt idx="9">
                  <c:v>40 -- 44</c:v>
                </c:pt>
                <c:pt idx="10">
                  <c:v>45 -- 49</c:v>
                </c:pt>
                <c:pt idx="11">
                  <c:v>50 -- 54</c:v>
                </c:pt>
                <c:pt idx="12">
                  <c:v>55 -- 59</c:v>
                </c:pt>
                <c:pt idx="13">
                  <c:v>60 -- 64</c:v>
                </c:pt>
                <c:pt idx="14">
                  <c:v>65 -- 69</c:v>
                </c:pt>
                <c:pt idx="15">
                  <c:v>70 -- 74</c:v>
                </c:pt>
                <c:pt idx="16">
                  <c:v>75 -- 79</c:v>
                </c:pt>
                <c:pt idx="17">
                  <c:v>80 -- 84</c:v>
                </c:pt>
                <c:pt idx="18">
                  <c:v>85 y más</c:v>
                </c:pt>
              </c:strCache>
            </c:strRef>
          </c:cat>
          <c:val>
            <c:numRef>
              <c:f>Gráficas!$E$7:$E$25</c:f>
              <c:numCache>
                <c:formatCode>General</c:formatCode>
                <c:ptCount val="19"/>
                <c:pt idx="0">
                  <c:v>-3911.4134334406926</c:v>
                </c:pt>
                <c:pt idx="1">
                  <c:v>-18199.714182112919</c:v>
                </c:pt>
                <c:pt idx="2">
                  <c:v>-23487.798733016229</c:v>
                </c:pt>
                <c:pt idx="3">
                  <c:v>-22933.736903568461</c:v>
                </c:pt>
                <c:pt idx="4">
                  <c:v>-23506.544946995709</c:v>
                </c:pt>
                <c:pt idx="5">
                  <c:v>-22931.449229998077</c:v>
                </c:pt>
                <c:pt idx="6">
                  <c:v>-20139.915555745152</c:v>
                </c:pt>
                <c:pt idx="7">
                  <c:v>-18225.323416803534</c:v>
                </c:pt>
                <c:pt idx="8">
                  <c:v>-17984.418680545186</c:v>
                </c:pt>
                <c:pt idx="9">
                  <c:v>-16905.971231576477</c:v>
                </c:pt>
                <c:pt idx="10">
                  <c:v>-14713.998672226606</c:v>
                </c:pt>
                <c:pt idx="11">
                  <c:v>-12167.627348932449</c:v>
                </c:pt>
                <c:pt idx="12">
                  <c:v>-9131.0584166968838</c:v>
                </c:pt>
                <c:pt idx="13">
                  <c:v>-6113.9347098095259</c:v>
                </c:pt>
                <c:pt idx="14">
                  <c:v>-3681.9470650342337</c:v>
                </c:pt>
                <c:pt idx="15">
                  <c:v>-2145.7107160377964</c:v>
                </c:pt>
                <c:pt idx="16">
                  <c:v>-1279.0637117931874</c:v>
                </c:pt>
                <c:pt idx="17">
                  <c:v>-704.60345967621515</c:v>
                </c:pt>
                <c:pt idx="18">
                  <c:v>-505.32167310112402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A5-4189-A42D-3C6BBE73A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16444607"/>
        <c:axId val="816444191"/>
      </c:barChart>
      <c:catAx>
        <c:axId val="816444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6444191"/>
        <c:crosses val="autoZero"/>
        <c:auto val="1"/>
        <c:lblAlgn val="ctr"/>
        <c:lblOffset val="100"/>
        <c:noMultiLvlLbl val="0"/>
      </c:catAx>
      <c:valAx>
        <c:axId val="81644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644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Piramide Poblacional Censo 2020</a:t>
            </a:r>
          </a:p>
        </c:rich>
      </c:tx>
      <c:layout>
        <c:manualLayout>
          <c:xMode val="edge"/>
          <c:yMode val="edge"/>
          <c:x val="0.14366666666666664"/>
          <c:y val="2.90909090909090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7.9937445319335082E-2"/>
          <c:y val="0.20692793171845886"/>
          <c:w val="0.87172922134733155"/>
          <c:h val="0.58495328083989506"/>
        </c:manualLayout>
      </c:layout>
      <c:barChart>
        <c:barDir val="bar"/>
        <c:grouping val="clustered"/>
        <c:varyColors val="0"/>
        <c:ser>
          <c:idx val="0"/>
          <c:order val="0"/>
          <c:tx>
            <c:v>Mujeres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Gráficas!$N$7:$N$25</c:f>
              <c:strCache>
                <c:ptCount val="19"/>
                <c:pt idx="0">
                  <c:v>Menor 1</c:v>
                </c:pt>
                <c:pt idx="1">
                  <c:v>1-- 4</c:v>
                </c:pt>
                <c:pt idx="2">
                  <c:v>5 -- 9</c:v>
                </c:pt>
                <c:pt idx="3">
                  <c:v>10 -- 14</c:v>
                </c:pt>
                <c:pt idx="4">
                  <c:v>15 -- 19</c:v>
                </c:pt>
                <c:pt idx="5">
                  <c:v>20 -- 24</c:v>
                </c:pt>
                <c:pt idx="6">
                  <c:v>25 -- 29</c:v>
                </c:pt>
                <c:pt idx="7">
                  <c:v>30 -- 34</c:v>
                </c:pt>
                <c:pt idx="8">
                  <c:v>35 -- 39</c:v>
                </c:pt>
                <c:pt idx="9">
                  <c:v>40 -- 44</c:v>
                </c:pt>
                <c:pt idx="10">
                  <c:v>45 -- 49</c:v>
                </c:pt>
                <c:pt idx="11">
                  <c:v>50 -- 54</c:v>
                </c:pt>
                <c:pt idx="12">
                  <c:v>55 -- 59</c:v>
                </c:pt>
                <c:pt idx="13">
                  <c:v>60 -- 64</c:v>
                </c:pt>
                <c:pt idx="14">
                  <c:v>65 -- 69</c:v>
                </c:pt>
                <c:pt idx="15">
                  <c:v>70 -- 74</c:v>
                </c:pt>
                <c:pt idx="16">
                  <c:v>75 -- 79</c:v>
                </c:pt>
                <c:pt idx="17">
                  <c:v>80 -- 84</c:v>
                </c:pt>
                <c:pt idx="18">
                  <c:v>85 y más</c:v>
                </c:pt>
              </c:strCache>
            </c:strRef>
          </c:cat>
          <c:val>
            <c:numRef>
              <c:f>Gráficas!$P$7:$P$25</c:f>
              <c:numCache>
                <c:formatCode>General</c:formatCode>
                <c:ptCount val="19"/>
                <c:pt idx="0">
                  <c:v>3074.032299038287</c:v>
                </c:pt>
                <c:pt idx="1">
                  <c:v>14523.601819089095</c:v>
                </c:pt>
                <c:pt idx="2">
                  <c:v>18898.494140506864</c:v>
                </c:pt>
                <c:pt idx="3">
                  <c:v>19851.249024205375</c:v>
                </c:pt>
                <c:pt idx="4">
                  <c:v>20669.540011359859</c:v>
                </c:pt>
                <c:pt idx="5">
                  <c:v>21212.086198578225</c:v>
                </c:pt>
                <c:pt idx="6">
                  <c:v>21280.69405648929</c:v>
                </c:pt>
                <c:pt idx="7">
                  <c:v>20657.031741913896</c:v>
                </c:pt>
                <c:pt idx="8">
                  <c:v>19662.937027696502</c:v>
                </c:pt>
                <c:pt idx="9">
                  <c:v>19052.470937386592</c:v>
                </c:pt>
                <c:pt idx="10">
                  <c:v>19148.972236162146</c:v>
                </c:pt>
                <c:pt idx="11">
                  <c:v>18130.111148441749</c:v>
                </c:pt>
                <c:pt idx="12">
                  <c:v>15456.968885146374</c:v>
                </c:pt>
                <c:pt idx="13">
                  <c:v>12470.369389535324</c:v>
                </c:pt>
                <c:pt idx="14">
                  <c:v>8907.7015445907437</c:v>
                </c:pt>
                <c:pt idx="15">
                  <c:v>5364.233893245706</c:v>
                </c:pt>
                <c:pt idx="16">
                  <c:v>2968.9628356922517</c:v>
                </c:pt>
                <c:pt idx="17">
                  <c:v>1792.1848462166577</c:v>
                </c:pt>
                <c:pt idx="18">
                  <c:v>1616.0684124175893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D-4169-8982-743A14A6335D}"/>
            </c:ext>
          </c:extLst>
        </c:ser>
        <c:ser>
          <c:idx val="1"/>
          <c:order val="1"/>
          <c:tx>
            <c:v>Hombres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Gráficas!$N$7:$N$25</c:f>
              <c:strCache>
                <c:ptCount val="19"/>
                <c:pt idx="0">
                  <c:v>Menor 1</c:v>
                </c:pt>
                <c:pt idx="1">
                  <c:v>1-- 4</c:v>
                </c:pt>
                <c:pt idx="2">
                  <c:v>5 -- 9</c:v>
                </c:pt>
                <c:pt idx="3">
                  <c:v>10 -- 14</c:v>
                </c:pt>
                <c:pt idx="4">
                  <c:v>15 -- 19</c:v>
                </c:pt>
                <c:pt idx="5">
                  <c:v>20 -- 24</c:v>
                </c:pt>
                <c:pt idx="6">
                  <c:v>25 -- 29</c:v>
                </c:pt>
                <c:pt idx="7">
                  <c:v>30 -- 34</c:v>
                </c:pt>
                <c:pt idx="8">
                  <c:v>35 -- 39</c:v>
                </c:pt>
                <c:pt idx="9">
                  <c:v>40 -- 44</c:v>
                </c:pt>
                <c:pt idx="10">
                  <c:v>45 -- 49</c:v>
                </c:pt>
                <c:pt idx="11">
                  <c:v>50 -- 54</c:v>
                </c:pt>
                <c:pt idx="12">
                  <c:v>55 -- 59</c:v>
                </c:pt>
                <c:pt idx="13">
                  <c:v>60 -- 64</c:v>
                </c:pt>
                <c:pt idx="14">
                  <c:v>65 -- 69</c:v>
                </c:pt>
                <c:pt idx="15">
                  <c:v>70 -- 74</c:v>
                </c:pt>
                <c:pt idx="16">
                  <c:v>75 -- 79</c:v>
                </c:pt>
                <c:pt idx="17">
                  <c:v>80 -- 84</c:v>
                </c:pt>
                <c:pt idx="18">
                  <c:v>85 y más</c:v>
                </c:pt>
              </c:strCache>
            </c:strRef>
          </c:cat>
          <c:val>
            <c:numRef>
              <c:f>Gráficas!$Q$7:$Q$25</c:f>
              <c:numCache>
                <c:formatCode>General</c:formatCode>
                <c:ptCount val="19"/>
                <c:pt idx="0">
                  <c:v>-3136.9322379643954</c:v>
                </c:pt>
                <c:pt idx="1">
                  <c:v>-14993.235296222807</c:v>
                </c:pt>
                <c:pt idx="2">
                  <c:v>-19387.942278404505</c:v>
                </c:pt>
                <c:pt idx="3">
                  <c:v>-20778.298688181705</c:v>
                </c:pt>
                <c:pt idx="4">
                  <c:v>-21574.163912670039</c:v>
                </c:pt>
                <c:pt idx="5">
                  <c:v>-21618.69133997129</c:v>
                </c:pt>
                <c:pt idx="6">
                  <c:v>-20883.926250979195</c:v>
                </c:pt>
                <c:pt idx="7">
                  <c:v>-19524.714024904268</c:v>
                </c:pt>
                <c:pt idx="8">
                  <c:v>-17915.472789910251</c:v>
                </c:pt>
                <c:pt idx="9">
                  <c:v>-16818.171891837617</c:v>
                </c:pt>
                <c:pt idx="10">
                  <c:v>-16639.74949002517</c:v>
                </c:pt>
                <c:pt idx="11">
                  <c:v>-15761.270878647863</c:v>
                </c:pt>
                <c:pt idx="12">
                  <c:v>-13641.277538640783</c:v>
                </c:pt>
                <c:pt idx="13">
                  <c:v>-11045.053357483408</c:v>
                </c:pt>
                <c:pt idx="14">
                  <c:v>-7984.1054231299913</c:v>
                </c:pt>
                <c:pt idx="15">
                  <c:v>-4948.6106670232184</c:v>
                </c:pt>
                <c:pt idx="16">
                  <c:v>-2627.6185189456146</c:v>
                </c:pt>
                <c:pt idx="17">
                  <c:v>-1380.850554510643</c:v>
                </c:pt>
                <c:pt idx="18">
                  <c:v>-908.55964021424904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ED-4169-8982-743A14A63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43781407"/>
        <c:axId val="443781823"/>
      </c:barChart>
      <c:catAx>
        <c:axId val="443781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3781823"/>
        <c:crosses val="autoZero"/>
        <c:auto val="1"/>
        <c:lblAlgn val="ctr"/>
        <c:lblOffset val="100"/>
        <c:noMultiLvlLbl val="0"/>
      </c:catAx>
      <c:valAx>
        <c:axId val="44378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378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Crecimiento Geométrico Población de Hombres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Geometrico!$C$38</c:f>
              <c:strCache>
                <c:ptCount val="1"/>
                <c:pt idx="0">
                  <c:v>2010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Geometrico!$B$39:$B$57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Geometrico!$C$39:$C$57</c:f>
              <c:numCache>
                <c:formatCode>General</c:formatCode>
                <c:ptCount val="19"/>
                <c:pt idx="0">
                  <c:v>3907.1772915946071</c:v>
                </c:pt>
                <c:pt idx="1">
                  <c:v>18182.400551759696</c:v>
                </c:pt>
                <c:pt idx="2">
                  <c:v>23465.682304423815</c:v>
                </c:pt>
                <c:pt idx="3">
                  <c:v>22922.623482507068</c:v>
                </c:pt>
                <c:pt idx="4">
                  <c:v>23496.644453558085</c:v>
                </c:pt>
                <c:pt idx="5">
                  <c:v>22924.811474886879</c:v>
                </c:pt>
                <c:pt idx="6">
                  <c:v>20143.50376765725</c:v>
                </c:pt>
                <c:pt idx="7">
                  <c:v>18231.488428576609</c:v>
                </c:pt>
                <c:pt idx="8">
                  <c:v>17984.079446544551</c:v>
                </c:pt>
                <c:pt idx="9">
                  <c:v>16905.538939613187</c:v>
                </c:pt>
                <c:pt idx="10">
                  <c:v>14722.888857179783</c:v>
                </c:pt>
                <c:pt idx="11">
                  <c:v>12183.100134115011</c:v>
                </c:pt>
                <c:pt idx="12">
                  <c:v>9149.0764812757734</c:v>
                </c:pt>
                <c:pt idx="13">
                  <c:v>6131.7176321898578</c:v>
                </c:pt>
                <c:pt idx="14">
                  <c:v>3695.9691191161837</c:v>
                </c:pt>
                <c:pt idx="15">
                  <c:v>2154.5342188944419</c:v>
                </c:pt>
                <c:pt idx="16">
                  <c:v>1283.5939759622152</c:v>
                </c:pt>
                <c:pt idx="17">
                  <c:v>706.9354270883623</c:v>
                </c:pt>
                <c:pt idx="18">
                  <c:v>506.77963239229319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F-4883-9E31-43595CF4866F}"/>
            </c:ext>
          </c:extLst>
        </c:ser>
        <c:ser>
          <c:idx val="1"/>
          <c:order val="1"/>
          <c:tx>
            <c:strRef>
              <c:f>Geometrico!$D$38</c:f>
              <c:strCache>
                <c:ptCount val="1"/>
                <c:pt idx="0">
                  <c:v>2015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Geometrico!$B$39:$B$57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Geometrico!$D$39:$D$57</c:f>
              <c:numCache>
                <c:formatCode>General</c:formatCode>
                <c:ptCount val="19"/>
                <c:pt idx="0">
                  <c:v>3489.4651678427285</c:v>
                </c:pt>
                <c:pt idx="1">
                  <c:v>16463.472348085623</c:v>
                </c:pt>
                <c:pt idx="2">
                  <c:v>21268.818848699768</c:v>
                </c:pt>
                <c:pt idx="3">
                  <c:v>21792.12710878886</c:v>
                </c:pt>
                <c:pt idx="4">
                  <c:v>22486.186995708977</c:v>
                </c:pt>
                <c:pt idx="5">
                  <c:v>22242.664255962987</c:v>
                </c:pt>
                <c:pt idx="6">
                  <c:v>20521.443183353476</c:v>
                </c:pt>
                <c:pt idx="7">
                  <c:v>18886.359294595783</c:v>
                </c:pt>
                <c:pt idx="8">
                  <c:v>17948.71794623079</c:v>
                </c:pt>
                <c:pt idx="9">
                  <c:v>16860.493058369419</c:v>
                </c:pt>
                <c:pt idx="10">
                  <c:v>15680.661034664829</c:v>
                </c:pt>
                <c:pt idx="11">
                  <c:v>13910.605439912159</c:v>
                </c:pt>
                <c:pt idx="12">
                  <c:v>11238.517420827697</c:v>
                </c:pt>
                <c:pt idx="13">
                  <c:v>8302.2359737984207</c:v>
                </c:pt>
                <c:pt idx="14">
                  <c:v>5495.115743420045</c:v>
                </c:pt>
                <c:pt idx="15">
                  <c:v>3306.099652826797</c:v>
                </c:pt>
                <c:pt idx="16">
                  <c:v>1856.2879297003117</c:v>
                </c:pt>
                <c:pt idx="17">
                  <c:v>997.95081397472927</c:v>
                </c:pt>
                <c:pt idx="18">
                  <c:v>684.5035834537573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0F-4883-9E31-43595CF4866F}"/>
            </c:ext>
          </c:extLst>
        </c:ser>
        <c:ser>
          <c:idx val="2"/>
          <c:order val="2"/>
          <c:tx>
            <c:strRef>
              <c:f>Geometrico!$E$38</c:f>
              <c:strCache>
                <c:ptCount val="1"/>
                <c:pt idx="0">
                  <c:v>2020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Geometrico!$B$39:$B$57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Geometrico!$E$39:$E$57</c:f>
              <c:numCache>
                <c:formatCode>General</c:formatCode>
                <c:ptCount val="19"/>
                <c:pt idx="0">
                  <c:v>3116.2172346680632</c:v>
                </c:pt>
                <c:pt idx="1">
                  <c:v>14906.23749653565</c:v>
                </c:pt>
                <c:pt idx="2">
                  <c:v>19276.588615423214</c:v>
                </c:pt>
                <c:pt idx="3">
                  <c:v>20716.810666497746</c:v>
                </c:pt>
                <c:pt idx="4">
                  <c:v>21518.665569446599</c:v>
                </c:pt>
                <c:pt idx="5">
                  <c:v>21580.457897704706</c:v>
                </c:pt>
                <c:pt idx="6">
                  <c:v>20906.686456654719</c:v>
                </c:pt>
                <c:pt idx="7">
                  <c:v>19565.13108791555</c:v>
                </c:pt>
                <c:pt idx="8">
                  <c:v>17913.406667613883</c:v>
                </c:pt>
                <c:pt idx="9">
                  <c:v>16815.542634135632</c:v>
                </c:pt>
                <c:pt idx="10">
                  <c:v>16701.315871530609</c:v>
                </c:pt>
                <c:pt idx="11">
                  <c:v>15884.21618186156</c:v>
                </c:pt>
                <c:pt idx="12">
                  <c:v>13806.694338496181</c:v>
                </c:pt>
                <c:pt idx="13">
                  <c:v>11242.944743821075</c:v>
                </c:pt>
                <c:pt idx="14">
                  <c:v>8171.8368221910941</c:v>
                </c:pt>
                <c:pt idx="15">
                  <c:v>5074.3489051020197</c:v>
                </c:pt>
                <c:pt idx="16">
                  <c:v>2685.0399611984221</c:v>
                </c:pt>
                <c:pt idx="17">
                  <c:v>1409.0309275339387</c:v>
                </c:pt>
                <c:pt idx="18">
                  <c:v>924.70626200867173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0F-4883-9E31-43595CF4866F}"/>
            </c:ext>
          </c:extLst>
        </c:ser>
        <c:ser>
          <c:idx val="3"/>
          <c:order val="3"/>
          <c:tx>
            <c:strRef>
              <c:f>Geometrico!$F$38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Geometrico!$B$39:$B$57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Geometrico!$F$39:$F$57</c:f>
              <c:numCache>
                <c:formatCode>General</c:formatCode>
                <c:ptCount val="19"/>
                <c:pt idx="0">
                  <c:v>2783.065800264083</c:v>
                </c:pt>
                <c:pt idx="1">
                  <c:v>13497.031271509473</c:v>
                </c:pt>
                <c:pt idx="2">
                  <c:v>17471.909231680518</c:v>
                </c:pt>
                <c:pt idx="3">
                  <c:v>19695.100418045815</c:v>
                </c:pt>
                <c:pt idx="4">
                  <c:v>20593.269768757469</c:v>
                </c:pt>
                <c:pt idx="5">
                  <c:v>20938.313060258621</c:v>
                </c:pt>
                <c:pt idx="6">
                  <c:v>21298.944971097419</c:v>
                </c:pt>
                <c:pt idx="7">
                  <c:v>20267.906091147815</c:v>
                </c:pt>
                <c:pt idx="8">
                  <c:v>17878.184128846737</c:v>
                </c:pt>
                <c:pt idx="9">
                  <c:v>16770.736553758514</c:v>
                </c:pt>
                <c:pt idx="10">
                  <c:v>17787.791211004547</c:v>
                </c:pt>
                <c:pt idx="11">
                  <c:v>18136.522034274061</c:v>
                </c:pt>
                <c:pt idx="12">
                  <c:v>16959.829242305728</c:v>
                </c:pt>
                <c:pt idx="13">
                  <c:v>15222.746039961328</c:v>
                </c:pt>
                <c:pt idx="14">
                  <c:v>12149.773909642428</c:v>
                </c:pt>
                <c:pt idx="15">
                  <c:v>7786.5104236256993</c:v>
                </c:pt>
                <c:pt idx="16">
                  <c:v>3883.0092412979216</c:v>
                </c:pt>
                <c:pt idx="17">
                  <c:v>1989.069308408423</c:v>
                </c:pt>
                <c:pt idx="18">
                  <c:v>1248.9940588162649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0F-4883-9E31-43595CF48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8038656"/>
        <c:axId val="138040448"/>
      </c:barChart>
      <c:catAx>
        <c:axId val="1380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8040448"/>
        <c:crosses val="autoZero"/>
        <c:auto val="1"/>
        <c:lblAlgn val="ctr"/>
        <c:lblOffset val="100"/>
        <c:noMultiLvlLbl val="0"/>
      </c:catAx>
      <c:valAx>
        <c:axId val="13804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803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Crecimiento Geométrico Población de Mujeres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Geometrico!$S$38</c:f>
              <c:strCache>
                <c:ptCount val="1"/>
                <c:pt idx="0">
                  <c:v>2010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Geometrico!$R$39:$R$57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Geometrico!$S$39:$S$57</c:f>
              <c:numCache>
                <c:formatCode>General</c:formatCode>
                <c:ptCount val="19"/>
                <c:pt idx="0">
                  <c:v>3864.5627041459138</c:v>
                </c:pt>
                <c:pt idx="1">
                  <c:v>17457.318792316153</c:v>
                </c:pt>
                <c:pt idx="2">
                  <c:v>22393.196309981347</c:v>
                </c:pt>
                <c:pt idx="3">
                  <c:v>22310.888876533452</c:v>
                </c:pt>
                <c:pt idx="4">
                  <c:v>23208.308230709263</c:v>
                </c:pt>
                <c:pt idx="5">
                  <c:v>23019.882440906371</c:v>
                </c:pt>
                <c:pt idx="6">
                  <c:v>21174.039426968884</c:v>
                </c:pt>
                <c:pt idx="7">
                  <c:v>20298.270443908823</c:v>
                </c:pt>
                <c:pt idx="8">
                  <c:v>20433.987261411952</c:v>
                </c:pt>
                <c:pt idx="9">
                  <c:v>18998.33357305931</c:v>
                </c:pt>
                <c:pt idx="10">
                  <c:v>16342.192489611656</c:v>
                </c:pt>
                <c:pt idx="11">
                  <c:v>13344.823168845223</c:v>
                </c:pt>
                <c:pt idx="12">
                  <c:v>9636.4134881568752</c:v>
                </c:pt>
                <c:pt idx="13">
                  <c:v>6266.2199142083618</c:v>
                </c:pt>
                <c:pt idx="14">
                  <c:v>3961.1943644689873</c:v>
                </c:pt>
                <c:pt idx="15">
                  <c:v>2557.5248384308625</c:v>
                </c:pt>
                <c:pt idx="16">
                  <c:v>1698.3480137290214</c:v>
                </c:pt>
                <c:pt idx="17">
                  <c:v>1098.913968546439</c:v>
                </c:pt>
                <c:pt idx="18">
                  <c:v>883.50147951542499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E-4C6C-9C05-D97DADCE9BC5}"/>
            </c:ext>
          </c:extLst>
        </c:ser>
        <c:ser>
          <c:idx val="1"/>
          <c:order val="1"/>
          <c:tx>
            <c:strRef>
              <c:f>Geometrico!$T$38</c:f>
              <c:strCache>
                <c:ptCount val="1"/>
                <c:pt idx="0">
                  <c:v>2015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Geometrico!$R$39:$R$57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Geometrico!$T$39:$T$57</c:f>
              <c:numCache>
                <c:formatCode>General</c:formatCode>
                <c:ptCount val="19"/>
                <c:pt idx="0">
                  <c:v>3434.9374968289608</c:v>
                </c:pt>
                <c:pt idx="1">
                  <c:v>15879.311617288617</c:v>
                </c:pt>
                <c:pt idx="2">
                  <c:v>20519.66465089202</c:v>
                </c:pt>
                <c:pt idx="3">
                  <c:v>21008.456117302445</c:v>
                </c:pt>
                <c:pt idx="4">
                  <c:v>21864.278644487797</c:v>
                </c:pt>
                <c:pt idx="5">
                  <c:v>22070.509030663423</c:v>
                </c:pt>
                <c:pt idx="6">
                  <c:v>21228.893920187264</c:v>
                </c:pt>
                <c:pt idx="7">
                  <c:v>20482.228236305415</c:v>
                </c:pt>
                <c:pt idx="8">
                  <c:v>20033.234626078898</c:v>
                </c:pt>
                <c:pt idx="9">
                  <c:v>19026.19217566029</c:v>
                </c:pt>
                <c:pt idx="10">
                  <c:v>17731.959654133163</c:v>
                </c:pt>
                <c:pt idx="11">
                  <c:v>15625.928349721071</c:v>
                </c:pt>
                <c:pt idx="12">
                  <c:v>12290.994319358451</c:v>
                </c:pt>
                <c:pt idx="13">
                  <c:v>8931.1948925490378</c:v>
                </c:pt>
                <c:pt idx="14">
                  <c:v>6012.5145464500938</c:v>
                </c:pt>
                <c:pt idx="15">
                  <c:v>3745.1728312897649</c:v>
                </c:pt>
                <c:pt idx="16">
                  <c:v>2264.3387453494306</c:v>
                </c:pt>
                <c:pt idx="17">
                  <c:v>1413.6703594572382</c:v>
                </c:pt>
                <c:pt idx="18">
                  <c:v>1205.7388275457736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E-4C6C-9C05-D97DADCE9BC5}"/>
            </c:ext>
          </c:extLst>
        </c:ser>
        <c:ser>
          <c:idx val="2"/>
          <c:order val="2"/>
          <c:tx>
            <c:strRef>
              <c:f>Geometrico!$U$38</c:f>
              <c:strCache>
                <c:ptCount val="1"/>
                <c:pt idx="0">
                  <c:v>2020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Geometrico!$R$39:$R$57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Geometrico!$U$39:$U$57</c:f>
              <c:numCache>
                <c:formatCode>General</c:formatCode>
                <c:ptCount val="19"/>
                <c:pt idx="0">
                  <c:v>3052.8768821105159</c:v>
                </c:pt>
                <c:pt idx="1">
                  <c:v>14443.194734707715</c:v>
                </c:pt>
                <c:pt idx="2">
                  <c:v>18801.982736958074</c:v>
                </c:pt>
                <c:pt idx="3">
                  <c:v>19781.403266335408</c:v>
                </c:pt>
                <c:pt idx="4">
                  <c:v>20597.41098638796</c:v>
                </c:pt>
                <c:pt idx="5">
                  <c:v>21159.801111145924</c:v>
                </c:pt>
                <c:pt idx="6">
                  <c:v>21283.920679737639</c:v>
                </c:pt>
                <c:pt idx="7">
                  <c:v>20667.9553050508</c:v>
                </c:pt>
                <c:pt idx="8">
                  <c:v>19640.128535523938</c:v>
                </c:pt>
                <c:pt idx="9">
                  <c:v>19054.106919506925</c:v>
                </c:pt>
                <c:pt idx="10">
                  <c:v>19240.774927434202</c:v>
                </c:pt>
                <c:pt idx="11">
                  <c:v>18298.536876338076</c:v>
                </c:pt>
                <c:pt idx="12">
                  <c:v>15678.932109348585</c:v>
                </c:pt>
                <c:pt idx="13">
                  <c:v>12732.033867304428</c:v>
                </c:pt>
                <c:pt idx="14">
                  <c:v>9128.2048435385932</c:v>
                </c:pt>
                <c:pt idx="15">
                  <c:v>5485.4793777911009</c:v>
                </c:pt>
                <c:pt idx="16">
                  <c:v>3019.4268805425254</c:v>
                </c:pt>
                <c:pt idx="17">
                  <c:v>1818.8316984240287</c:v>
                </c:pt>
                <c:pt idx="18">
                  <c:v>1645.7852622763319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E-4C6C-9C05-D97DADCE9BC5}"/>
            </c:ext>
          </c:extLst>
        </c:ser>
        <c:ser>
          <c:idx val="3"/>
          <c:order val="3"/>
          <c:tx>
            <c:strRef>
              <c:f>Geometrico!$V$38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Geometrico!$R$39:$R$57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Geometrico!$V$39:$V$57</c:f>
              <c:numCache>
                <c:formatCode>General</c:formatCode>
                <c:ptCount val="19"/>
                <c:pt idx="0">
                  <c:v>2713.4871597021347</c:v>
                </c:pt>
                <c:pt idx="1">
                  <c:v>13137.641161857779</c:v>
                </c:pt>
                <c:pt idx="2">
                  <c:v>17228.910745638968</c:v>
                </c:pt>
                <c:pt idx="3">
                  <c:v>18626.633154745054</c:v>
                </c:pt>
                <c:pt idx="4">
                  <c:v>19404.582560891718</c:v>
                </c:pt>
                <c:pt idx="5">
                  <c:v>20287.140158488157</c:v>
                </c:pt>
                <c:pt idx="6">
                  <c:v>21339.059836657325</c:v>
                </c:pt>
                <c:pt idx="7">
                  <c:v>20855.26345240133</c:v>
                </c:pt>
                <c:pt idx="8">
                  <c:v>19254.945107140651</c:v>
                </c:pt>
                <c:pt idx="9">
                  <c:v>19082.047306517496</c:v>
                </c:pt>
                <c:pt idx="10">
                  <c:v>20877.042351838543</c:v>
                </c:pt>
                <c:pt idx="11">
                  <c:v>21426.408017299364</c:v>
                </c:pt>
                <c:pt idx="12">
                  <c:v>19998.069377829204</c:v>
                </c:pt>
                <c:pt idx="13">
                  <c:v>18146.869628624645</c:v>
                </c:pt>
                <c:pt idx="14">
                  <c:v>13855.281855655507</c:v>
                </c:pt>
                <c:pt idx="15">
                  <c:v>8032.7932787186801</c:v>
                </c:pt>
                <c:pt idx="16">
                  <c:v>4025.6797894738675</c:v>
                </c:pt>
                <c:pt idx="17">
                  <c:v>2339.7904972527963</c:v>
                </c:pt>
                <c:pt idx="18">
                  <c:v>2246.0485223154992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E-4C6C-9C05-D97DADCE9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8304768"/>
        <c:axId val="137958528"/>
      </c:barChart>
      <c:catAx>
        <c:axId val="18830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7958528"/>
        <c:crosses val="autoZero"/>
        <c:auto val="1"/>
        <c:lblAlgn val="ctr"/>
        <c:lblOffset val="100"/>
        <c:noMultiLvlLbl val="0"/>
      </c:catAx>
      <c:valAx>
        <c:axId val="13795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830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Crecimiento Geométrico Población de Totales </a:t>
            </a:r>
          </a:p>
        </c:rich>
      </c:tx>
      <c:layout>
        <c:manualLayout>
          <c:xMode val="edge"/>
          <c:yMode val="edge"/>
          <c:x val="0.13774835387359619"/>
          <c:y val="2.79794461226298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Geometrico!$C$61</c:f>
              <c:strCache>
                <c:ptCount val="1"/>
                <c:pt idx="0">
                  <c:v>2010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Geometrico!$B$62:$B$80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Geometrico!$C$62:$C$80</c:f>
              <c:numCache>
                <c:formatCode>General</c:formatCode>
                <c:ptCount val="19"/>
                <c:pt idx="0">
                  <c:v>7771.7399957405214</c:v>
                </c:pt>
                <c:pt idx="1">
                  <c:v>35639.719344075849</c:v>
                </c:pt>
                <c:pt idx="2">
                  <c:v>45858.878614405163</c:v>
                </c:pt>
                <c:pt idx="3">
                  <c:v>45233.51235904052</c:v>
                </c:pt>
                <c:pt idx="4">
                  <c:v>46704.952684267351</c:v>
                </c:pt>
                <c:pt idx="5">
                  <c:v>45944.69391579325</c:v>
                </c:pt>
                <c:pt idx="6">
                  <c:v>41317.543194626138</c:v>
                </c:pt>
                <c:pt idx="7">
                  <c:v>38529.758872485429</c:v>
                </c:pt>
                <c:pt idx="8">
                  <c:v>38418.066707956503</c:v>
                </c:pt>
                <c:pt idx="9">
                  <c:v>35903.872512672497</c:v>
                </c:pt>
                <c:pt idx="10">
                  <c:v>31065.081346791441</c:v>
                </c:pt>
                <c:pt idx="11">
                  <c:v>25527.923302960233</c:v>
                </c:pt>
                <c:pt idx="12">
                  <c:v>18785.489969432649</c:v>
                </c:pt>
                <c:pt idx="13">
                  <c:v>12397.93754639822</c:v>
                </c:pt>
                <c:pt idx="14">
                  <c:v>7657.163483585171</c:v>
                </c:pt>
                <c:pt idx="15">
                  <c:v>4712.0590573253048</c:v>
                </c:pt>
                <c:pt idx="16">
                  <c:v>2981.9419896912368</c:v>
                </c:pt>
                <c:pt idx="17">
                  <c:v>1805.8493956348013</c:v>
                </c:pt>
                <c:pt idx="18">
                  <c:v>1390.2811119077182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6-41E8-8997-CF757B8B9940}"/>
            </c:ext>
          </c:extLst>
        </c:ser>
        <c:ser>
          <c:idx val="1"/>
          <c:order val="1"/>
          <c:tx>
            <c:strRef>
              <c:f>Geometrico!$D$61</c:f>
              <c:strCache>
                <c:ptCount val="1"/>
                <c:pt idx="0">
                  <c:v>2015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Geometrico!$B$62:$B$80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Geometrico!$D$62:$D$80</c:f>
              <c:numCache>
                <c:formatCode>General</c:formatCode>
                <c:ptCount val="19"/>
                <c:pt idx="0">
                  <c:v>6924.4026646716893</c:v>
                </c:pt>
                <c:pt idx="1">
                  <c:v>32342.783965374241</c:v>
                </c:pt>
                <c:pt idx="2">
                  <c:v>41788.483499591792</c:v>
                </c:pt>
                <c:pt idx="3">
                  <c:v>42800.583226091301</c:v>
                </c:pt>
                <c:pt idx="4">
                  <c:v>44350.465640196773</c:v>
                </c:pt>
                <c:pt idx="5">
                  <c:v>44313.173286626406</c:v>
                </c:pt>
                <c:pt idx="6">
                  <c:v>41750.33710354074</c:v>
                </c:pt>
                <c:pt idx="7">
                  <c:v>39368.587530901197</c:v>
                </c:pt>
                <c:pt idx="8">
                  <c:v>37981.952572309689</c:v>
                </c:pt>
                <c:pt idx="9">
                  <c:v>35886.685234029705</c:v>
                </c:pt>
                <c:pt idx="10">
                  <c:v>33412.620688797993</c:v>
                </c:pt>
                <c:pt idx="11">
                  <c:v>29536.533789633228</c:v>
                </c:pt>
                <c:pt idx="12">
                  <c:v>23529.51174018615</c:v>
                </c:pt>
                <c:pt idx="13">
                  <c:v>17233.430866347459</c:v>
                </c:pt>
                <c:pt idx="14">
                  <c:v>11507.63028987014</c:v>
                </c:pt>
                <c:pt idx="15">
                  <c:v>7051.2724841165618</c:v>
                </c:pt>
                <c:pt idx="16">
                  <c:v>4120.6266750497425</c:v>
                </c:pt>
                <c:pt idx="17">
                  <c:v>2411.6211734319677</c:v>
                </c:pt>
                <c:pt idx="18">
                  <c:v>1890.2424109995309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D6-41E8-8997-CF757B8B9940}"/>
            </c:ext>
          </c:extLst>
        </c:ser>
        <c:ser>
          <c:idx val="2"/>
          <c:order val="2"/>
          <c:tx>
            <c:strRef>
              <c:f>Geometrico!$E$61</c:f>
              <c:strCache>
                <c:ptCount val="1"/>
                <c:pt idx="0">
                  <c:v>2020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Geometrico!$B$62:$B$80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Geometrico!$E$62:$E$80</c:f>
              <c:numCache>
                <c:formatCode>General</c:formatCode>
                <c:ptCount val="19"/>
                <c:pt idx="0">
                  <c:v>6169.0941167785786</c:v>
                </c:pt>
                <c:pt idx="1">
                  <c:v>29349.432231243365</c:v>
                </c:pt>
                <c:pt idx="2">
                  <c:v>38078.571352381288</c:v>
                </c:pt>
                <c:pt idx="3">
                  <c:v>40498.213932833154</c:v>
                </c:pt>
                <c:pt idx="4">
                  <c:v>42116.076555834559</c:v>
                </c:pt>
                <c:pt idx="5">
                  <c:v>42740.259008850626</c:v>
                </c:pt>
                <c:pt idx="6">
                  <c:v>42190.607136392355</c:v>
                </c:pt>
                <c:pt idx="7">
                  <c:v>40233.086392966346</c:v>
                </c:pt>
                <c:pt idx="8">
                  <c:v>37553.535203137821</c:v>
                </c:pt>
                <c:pt idx="9">
                  <c:v>35869.649553642557</c:v>
                </c:pt>
                <c:pt idx="10">
                  <c:v>35942.090798964811</c:v>
                </c:pt>
                <c:pt idx="11">
                  <c:v>34182.75305819964</c:v>
                </c:pt>
                <c:pt idx="12">
                  <c:v>29485.626447844767</c:v>
                </c:pt>
                <c:pt idx="13">
                  <c:v>23974.978611125502</c:v>
                </c:pt>
                <c:pt idx="14">
                  <c:v>17300.041665729688</c:v>
                </c:pt>
                <c:pt idx="15">
                  <c:v>10559.828282893121</c:v>
                </c:pt>
                <c:pt idx="16">
                  <c:v>5704.4668417409475</c:v>
                </c:pt>
                <c:pt idx="17">
                  <c:v>3227.8626259579673</c:v>
                </c:pt>
                <c:pt idx="18">
                  <c:v>2570.4915242850038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D6-41E8-8997-CF757B8B9940}"/>
            </c:ext>
          </c:extLst>
        </c:ser>
        <c:ser>
          <c:idx val="3"/>
          <c:order val="3"/>
          <c:tx>
            <c:strRef>
              <c:f>Geometrico!$F$61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Geometrico!$B$62:$B$80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Geometrico!$F$62:$F$80</c:f>
              <c:numCache>
                <c:formatCode>General</c:formatCode>
                <c:ptCount val="19"/>
                <c:pt idx="0">
                  <c:v>5496.5529599662177</c:v>
                </c:pt>
                <c:pt idx="1">
                  <c:v>26634.672433367254</c:v>
                </c:pt>
                <c:pt idx="2">
                  <c:v>34700.819977319486</c:v>
                </c:pt>
                <c:pt idx="3">
                  <c:v>38321.733572790865</c:v>
                </c:pt>
                <c:pt idx="4">
                  <c:v>39997.852329649191</c:v>
                </c:pt>
                <c:pt idx="5">
                  <c:v>41225.453218746778</c:v>
                </c:pt>
                <c:pt idx="6">
                  <c:v>42638.00480775474</c:v>
                </c:pt>
                <c:pt idx="7">
                  <c:v>41123.169543549142</c:v>
                </c:pt>
                <c:pt idx="8">
                  <c:v>37133.129235987391</c:v>
                </c:pt>
                <c:pt idx="9">
                  <c:v>35852.783860276009</c:v>
                </c:pt>
                <c:pt idx="10">
                  <c:v>38664.833562843094</c:v>
                </c:pt>
                <c:pt idx="11">
                  <c:v>39562.930051573421</c:v>
                </c:pt>
                <c:pt idx="12">
                  <c:v>36957.898620134933</c:v>
                </c:pt>
                <c:pt idx="13">
                  <c:v>33369.615668585975</c:v>
                </c:pt>
                <c:pt idx="14">
                  <c:v>26005.055765297933</c:v>
                </c:pt>
                <c:pt idx="15">
                  <c:v>15819.303702344379</c:v>
                </c:pt>
                <c:pt idx="16">
                  <c:v>7908.6890307717895</c:v>
                </c:pt>
                <c:pt idx="17">
                  <c:v>4328.8598056612191</c:v>
                </c:pt>
                <c:pt idx="18">
                  <c:v>3495.0425811317641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D6-41E8-8997-CF757B8B9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8089984"/>
        <c:axId val="138091520"/>
      </c:barChart>
      <c:catAx>
        <c:axId val="13808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8091520"/>
        <c:crosses val="autoZero"/>
        <c:auto val="1"/>
        <c:lblAlgn val="ctr"/>
        <c:lblOffset val="100"/>
        <c:noMultiLvlLbl val="0"/>
      </c:catAx>
      <c:valAx>
        <c:axId val="13809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808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Crecimiento Geométrico Población de Hombres 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Exponencial!$C$38</c:f>
              <c:strCache>
                <c:ptCount val="1"/>
                <c:pt idx="0">
                  <c:v>2010</c:v>
                </c:pt>
              </c:strCache>
            </c:strRef>
          </c:tx>
          <c:invertIfNegative val="0"/>
          <c:cat>
            <c:numRef>
              <c:f>Exponencial!$B$39:$B$57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Exponencial!$C$39:$C$57</c:f>
              <c:numCache>
                <c:formatCode>General</c:formatCode>
                <c:ptCount val="19"/>
                <c:pt idx="0">
                  <c:v>3907.1772915946071</c:v>
                </c:pt>
                <c:pt idx="1">
                  <c:v>18182.400551759696</c:v>
                </c:pt>
                <c:pt idx="2">
                  <c:v>23465.682304423815</c:v>
                </c:pt>
                <c:pt idx="3">
                  <c:v>22922.623482507068</c:v>
                </c:pt>
                <c:pt idx="4">
                  <c:v>23496.644453558081</c:v>
                </c:pt>
                <c:pt idx="5">
                  <c:v>22924.811474886879</c:v>
                </c:pt>
                <c:pt idx="6">
                  <c:v>20143.50376765725</c:v>
                </c:pt>
                <c:pt idx="7">
                  <c:v>18231.488428576609</c:v>
                </c:pt>
                <c:pt idx="8">
                  <c:v>17984.079446544551</c:v>
                </c:pt>
                <c:pt idx="9">
                  <c:v>16905.538939613187</c:v>
                </c:pt>
                <c:pt idx="10">
                  <c:v>14722.888857179783</c:v>
                </c:pt>
                <c:pt idx="11">
                  <c:v>12183.100134115011</c:v>
                </c:pt>
                <c:pt idx="12">
                  <c:v>9149.0764812757734</c:v>
                </c:pt>
                <c:pt idx="13">
                  <c:v>6131.7176321898578</c:v>
                </c:pt>
                <c:pt idx="14">
                  <c:v>3695.9691191161837</c:v>
                </c:pt>
                <c:pt idx="15">
                  <c:v>2154.5342188944419</c:v>
                </c:pt>
                <c:pt idx="16">
                  <c:v>1283.5939759622152</c:v>
                </c:pt>
                <c:pt idx="17">
                  <c:v>706.9354270883623</c:v>
                </c:pt>
                <c:pt idx="18">
                  <c:v>506.77963239229319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4-4A25-919A-B083A2BB17A3}"/>
            </c:ext>
          </c:extLst>
        </c:ser>
        <c:ser>
          <c:idx val="1"/>
          <c:order val="1"/>
          <c:tx>
            <c:strRef>
              <c:f>Exponencial!$D$38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cat>
            <c:numRef>
              <c:f>Exponencial!$B$39:$B$57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Exponencial!$D$39:$D$57</c:f>
              <c:numCache>
                <c:formatCode>General</c:formatCode>
                <c:ptCount val="19"/>
                <c:pt idx="0">
                  <c:v>3489.4651678427285</c:v>
                </c:pt>
                <c:pt idx="1">
                  <c:v>16463.472348085623</c:v>
                </c:pt>
                <c:pt idx="2">
                  <c:v>21268.818848699771</c:v>
                </c:pt>
                <c:pt idx="3">
                  <c:v>21792.127108788856</c:v>
                </c:pt>
                <c:pt idx="4">
                  <c:v>22486.186995708969</c:v>
                </c:pt>
                <c:pt idx="5">
                  <c:v>22242.66425596298</c:v>
                </c:pt>
                <c:pt idx="6">
                  <c:v>20521.443183353469</c:v>
                </c:pt>
                <c:pt idx="7">
                  <c:v>18886.359294595786</c:v>
                </c:pt>
                <c:pt idx="8">
                  <c:v>17948.71794623079</c:v>
                </c:pt>
                <c:pt idx="9">
                  <c:v>16860.493058369419</c:v>
                </c:pt>
                <c:pt idx="10">
                  <c:v>15680.661034664829</c:v>
                </c:pt>
                <c:pt idx="11">
                  <c:v>13910.605439912164</c:v>
                </c:pt>
                <c:pt idx="12">
                  <c:v>11238.517420827702</c:v>
                </c:pt>
                <c:pt idx="13">
                  <c:v>8302.2359737984189</c:v>
                </c:pt>
                <c:pt idx="14">
                  <c:v>5495.1157434200441</c:v>
                </c:pt>
                <c:pt idx="15">
                  <c:v>3306.0996528267974</c:v>
                </c:pt>
                <c:pt idx="16">
                  <c:v>1856.2879297003121</c:v>
                </c:pt>
                <c:pt idx="17">
                  <c:v>997.95081397472927</c:v>
                </c:pt>
                <c:pt idx="18">
                  <c:v>684.5035834537573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A4-4A25-919A-B083A2BB17A3}"/>
            </c:ext>
          </c:extLst>
        </c:ser>
        <c:ser>
          <c:idx val="2"/>
          <c:order val="2"/>
          <c:tx>
            <c:strRef>
              <c:f>Exponencial!$E$38</c:f>
              <c:strCache>
                <c:ptCount val="1"/>
                <c:pt idx="0">
                  <c:v>2020</c:v>
                </c:pt>
              </c:strCache>
            </c:strRef>
          </c:tx>
          <c:invertIfNegative val="0"/>
          <c:cat>
            <c:numRef>
              <c:f>Exponencial!$B$39:$B$57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Exponencial!$E$39:$E$57</c:f>
              <c:numCache>
                <c:formatCode>General</c:formatCode>
                <c:ptCount val="19"/>
                <c:pt idx="0">
                  <c:v>3116.2172346680632</c:v>
                </c:pt>
                <c:pt idx="1">
                  <c:v>14906.23749653565</c:v>
                </c:pt>
                <c:pt idx="2">
                  <c:v>19276.588615423214</c:v>
                </c:pt>
                <c:pt idx="3">
                  <c:v>20716.810666497746</c:v>
                </c:pt>
                <c:pt idx="4">
                  <c:v>21518.665569446599</c:v>
                </c:pt>
                <c:pt idx="5">
                  <c:v>21580.457897704706</c:v>
                </c:pt>
                <c:pt idx="6">
                  <c:v>20906.686456654719</c:v>
                </c:pt>
                <c:pt idx="7">
                  <c:v>19565.13108791555</c:v>
                </c:pt>
                <c:pt idx="8">
                  <c:v>17913.406667613883</c:v>
                </c:pt>
                <c:pt idx="9">
                  <c:v>16815.542634135632</c:v>
                </c:pt>
                <c:pt idx="10">
                  <c:v>16701.315871530609</c:v>
                </c:pt>
                <c:pt idx="11">
                  <c:v>15884.21618186156</c:v>
                </c:pt>
                <c:pt idx="12">
                  <c:v>13806.694338496181</c:v>
                </c:pt>
                <c:pt idx="13">
                  <c:v>11242.944743821075</c:v>
                </c:pt>
                <c:pt idx="14">
                  <c:v>8171.8368221910941</c:v>
                </c:pt>
                <c:pt idx="15">
                  <c:v>5074.3489051020197</c:v>
                </c:pt>
                <c:pt idx="16">
                  <c:v>2685.0399611984221</c:v>
                </c:pt>
                <c:pt idx="17">
                  <c:v>1409.0309275339387</c:v>
                </c:pt>
                <c:pt idx="18">
                  <c:v>924.70626200867173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A4-4A25-919A-B083A2BB17A3}"/>
            </c:ext>
          </c:extLst>
        </c:ser>
        <c:ser>
          <c:idx val="3"/>
          <c:order val="3"/>
          <c:tx>
            <c:strRef>
              <c:f>Exponencial!$F$38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numRef>
              <c:f>Exponencial!$B$39:$B$57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Exponencial!$F$39:$F$57</c:f>
              <c:numCache>
                <c:formatCode>General</c:formatCode>
                <c:ptCount val="19"/>
                <c:pt idx="0">
                  <c:v>2783.065800264083</c:v>
                </c:pt>
                <c:pt idx="1">
                  <c:v>13497.031271509475</c:v>
                </c:pt>
                <c:pt idx="2">
                  <c:v>17471.909231680522</c:v>
                </c:pt>
                <c:pt idx="3">
                  <c:v>19695.100418045811</c:v>
                </c:pt>
                <c:pt idx="4">
                  <c:v>20593.269768757465</c:v>
                </c:pt>
                <c:pt idx="5">
                  <c:v>20938.313060258617</c:v>
                </c:pt>
                <c:pt idx="6">
                  <c:v>21298.944971097415</c:v>
                </c:pt>
                <c:pt idx="7">
                  <c:v>20267.906091147819</c:v>
                </c:pt>
                <c:pt idx="8">
                  <c:v>17878.184128846737</c:v>
                </c:pt>
                <c:pt idx="9">
                  <c:v>16770.736553758517</c:v>
                </c:pt>
                <c:pt idx="10">
                  <c:v>17787.791211004547</c:v>
                </c:pt>
                <c:pt idx="11">
                  <c:v>18136.522034274069</c:v>
                </c:pt>
                <c:pt idx="12">
                  <c:v>16959.829242305739</c:v>
                </c:pt>
                <c:pt idx="13">
                  <c:v>15222.746039961326</c:v>
                </c:pt>
                <c:pt idx="14">
                  <c:v>12149.773909642425</c:v>
                </c:pt>
                <c:pt idx="15">
                  <c:v>7786.5104236257012</c:v>
                </c:pt>
                <c:pt idx="16">
                  <c:v>3883.0092412979234</c:v>
                </c:pt>
                <c:pt idx="17">
                  <c:v>1989.0693084084232</c:v>
                </c:pt>
                <c:pt idx="18">
                  <c:v>1248.9940588162647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A4-4A25-919A-B083A2BB1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326400"/>
        <c:axId val="138327936"/>
      </c:barChart>
      <c:catAx>
        <c:axId val="13832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38327936"/>
        <c:crosses val="autoZero"/>
        <c:auto val="1"/>
        <c:lblAlgn val="ctr"/>
        <c:lblOffset val="100"/>
        <c:noMultiLvlLbl val="0"/>
      </c:catAx>
      <c:valAx>
        <c:axId val="1383279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38326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Crecimiento Geométrico Población de Mujeres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Exponencial!$S$38</c:f>
              <c:strCache>
                <c:ptCount val="1"/>
                <c:pt idx="0">
                  <c:v>2010</c:v>
                </c:pt>
              </c:strCache>
            </c:strRef>
          </c:tx>
          <c:invertIfNegative val="0"/>
          <c:cat>
            <c:numRef>
              <c:f>Exponencial!$R$39:$R$57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Exponencial!$S$39:$S$57</c:f>
              <c:numCache>
                <c:formatCode>General</c:formatCode>
                <c:ptCount val="19"/>
                <c:pt idx="0">
                  <c:v>3864.5627041459138</c:v>
                </c:pt>
                <c:pt idx="1">
                  <c:v>17457.318792316153</c:v>
                </c:pt>
                <c:pt idx="2">
                  <c:v>22393.196309981347</c:v>
                </c:pt>
                <c:pt idx="3">
                  <c:v>22310.888876533452</c:v>
                </c:pt>
                <c:pt idx="4">
                  <c:v>23208.308230709263</c:v>
                </c:pt>
                <c:pt idx="5">
                  <c:v>23019.882440906371</c:v>
                </c:pt>
                <c:pt idx="6">
                  <c:v>21174.039426968884</c:v>
                </c:pt>
                <c:pt idx="7">
                  <c:v>20298.270443908823</c:v>
                </c:pt>
                <c:pt idx="8">
                  <c:v>20433.987261411952</c:v>
                </c:pt>
                <c:pt idx="9">
                  <c:v>18998.33357305931</c:v>
                </c:pt>
                <c:pt idx="10">
                  <c:v>16342.192489611656</c:v>
                </c:pt>
                <c:pt idx="11">
                  <c:v>13344.823168845223</c:v>
                </c:pt>
                <c:pt idx="12">
                  <c:v>9636.4134881568752</c:v>
                </c:pt>
                <c:pt idx="13">
                  <c:v>6266.2199142083618</c:v>
                </c:pt>
                <c:pt idx="14">
                  <c:v>3961.1943644689873</c:v>
                </c:pt>
                <c:pt idx="15">
                  <c:v>2557.5248384308625</c:v>
                </c:pt>
                <c:pt idx="16">
                  <c:v>1698.3480137290214</c:v>
                </c:pt>
                <c:pt idx="17">
                  <c:v>1098.913968546439</c:v>
                </c:pt>
                <c:pt idx="18">
                  <c:v>883.50147951542499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7-436E-804F-0E6151DB6953}"/>
            </c:ext>
          </c:extLst>
        </c:ser>
        <c:ser>
          <c:idx val="1"/>
          <c:order val="1"/>
          <c:tx>
            <c:strRef>
              <c:f>Exponencial!$T$38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cat>
            <c:numRef>
              <c:f>Exponencial!$R$39:$R$57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Exponencial!$T$39:$T$57</c:f>
              <c:numCache>
                <c:formatCode>General</c:formatCode>
                <c:ptCount val="19"/>
                <c:pt idx="0">
                  <c:v>3434.9374968289617</c:v>
                </c:pt>
                <c:pt idx="1">
                  <c:v>15879.31161728862</c:v>
                </c:pt>
                <c:pt idx="2">
                  <c:v>20519.664650892024</c:v>
                </c:pt>
                <c:pt idx="3">
                  <c:v>21008.456117302449</c:v>
                </c:pt>
                <c:pt idx="4">
                  <c:v>21864.278644487797</c:v>
                </c:pt>
                <c:pt idx="5">
                  <c:v>22070.509030663423</c:v>
                </c:pt>
                <c:pt idx="6">
                  <c:v>21228.893920187271</c:v>
                </c:pt>
                <c:pt idx="7">
                  <c:v>20482.228236305418</c:v>
                </c:pt>
                <c:pt idx="8">
                  <c:v>20033.234626078895</c:v>
                </c:pt>
                <c:pt idx="9">
                  <c:v>19026.19217566029</c:v>
                </c:pt>
                <c:pt idx="10">
                  <c:v>17731.95965413317</c:v>
                </c:pt>
                <c:pt idx="11">
                  <c:v>15625.928349721071</c:v>
                </c:pt>
                <c:pt idx="12">
                  <c:v>12290.994319358457</c:v>
                </c:pt>
                <c:pt idx="13">
                  <c:v>8931.1948925490324</c:v>
                </c:pt>
                <c:pt idx="14">
                  <c:v>6012.5145464500911</c:v>
                </c:pt>
                <c:pt idx="15">
                  <c:v>3745.1728312897653</c:v>
                </c:pt>
                <c:pt idx="16">
                  <c:v>2264.338745349432</c:v>
                </c:pt>
                <c:pt idx="17">
                  <c:v>1413.670359457238</c:v>
                </c:pt>
                <c:pt idx="18">
                  <c:v>1205.7388275457736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17-436E-804F-0E6151DB6953}"/>
            </c:ext>
          </c:extLst>
        </c:ser>
        <c:ser>
          <c:idx val="2"/>
          <c:order val="2"/>
          <c:tx>
            <c:strRef>
              <c:f>Exponencial!$U$38</c:f>
              <c:strCache>
                <c:ptCount val="1"/>
                <c:pt idx="0">
                  <c:v>2020</c:v>
                </c:pt>
              </c:strCache>
            </c:strRef>
          </c:tx>
          <c:invertIfNegative val="0"/>
          <c:cat>
            <c:numRef>
              <c:f>Exponencial!$R$39:$R$57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Exponencial!$U$39:$U$57</c:f>
              <c:numCache>
                <c:formatCode>General</c:formatCode>
                <c:ptCount val="19"/>
                <c:pt idx="0">
                  <c:v>3052.8768821105159</c:v>
                </c:pt>
                <c:pt idx="1">
                  <c:v>14443.194734707715</c:v>
                </c:pt>
                <c:pt idx="2">
                  <c:v>18801.982736958074</c:v>
                </c:pt>
                <c:pt idx="3">
                  <c:v>19781.403266335408</c:v>
                </c:pt>
                <c:pt idx="4">
                  <c:v>20597.41098638796</c:v>
                </c:pt>
                <c:pt idx="5">
                  <c:v>21159.801111145924</c:v>
                </c:pt>
                <c:pt idx="6">
                  <c:v>21283.920679737646</c:v>
                </c:pt>
                <c:pt idx="7">
                  <c:v>20667.9553050508</c:v>
                </c:pt>
                <c:pt idx="8">
                  <c:v>19640.128535523938</c:v>
                </c:pt>
                <c:pt idx="9">
                  <c:v>19054.106919506925</c:v>
                </c:pt>
                <c:pt idx="10">
                  <c:v>19240.774927434202</c:v>
                </c:pt>
                <c:pt idx="11">
                  <c:v>18298.536876338076</c:v>
                </c:pt>
                <c:pt idx="12">
                  <c:v>15678.932109348585</c:v>
                </c:pt>
                <c:pt idx="13">
                  <c:v>12732.033867304426</c:v>
                </c:pt>
                <c:pt idx="14">
                  <c:v>9128.2048435385932</c:v>
                </c:pt>
                <c:pt idx="15">
                  <c:v>5485.4793777911009</c:v>
                </c:pt>
                <c:pt idx="16">
                  <c:v>3019.4268805425254</c:v>
                </c:pt>
                <c:pt idx="17">
                  <c:v>1818.8316984240287</c:v>
                </c:pt>
                <c:pt idx="18">
                  <c:v>1645.7852622763319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17-436E-804F-0E6151DB6953}"/>
            </c:ext>
          </c:extLst>
        </c:ser>
        <c:ser>
          <c:idx val="3"/>
          <c:order val="3"/>
          <c:tx>
            <c:strRef>
              <c:f>Exponencial!$V$38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numRef>
              <c:f>Exponencial!$R$39:$R$57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Exponencial!$V$39:$V$57</c:f>
              <c:numCache>
                <c:formatCode>General</c:formatCode>
                <c:ptCount val="19"/>
                <c:pt idx="0">
                  <c:v>2713.4871597021356</c:v>
                </c:pt>
                <c:pt idx="1">
                  <c:v>13137.64116185778</c:v>
                </c:pt>
                <c:pt idx="2">
                  <c:v>17228.910745638972</c:v>
                </c:pt>
                <c:pt idx="3">
                  <c:v>18626.633154745057</c:v>
                </c:pt>
                <c:pt idx="4">
                  <c:v>19404.582560891715</c:v>
                </c:pt>
                <c:pt idx="5">
                  <c:v>20287.140158488161</c:v>
                </c:pt>
                <c:pt idx="6">
                  <c:v>21339.059836657332</c:v>
                </c:pt>
                <c:pt idx="7">
                  <c:v>20855.263452401334</c:v>
                </c:pt>
                <c:pt idx="8">
                  <c:v>19254.945107140644</c:v>
                </c:pt>
                <c:pt idx="9">
                  <c:v>19082.047306517496</c:v>
                </c:pt>
                <c:pt idx="10">
                  <c:v>20877.042351838547</c:v>
                </c:pt>
                <c:pt idx="11">
                  <c:v>21426.408017299367</c:v>
                </c:pt>
                <c:pt idx="12">
                  <c:v>19998.069377829212</c:v>
                </c:pt>
                <c:pt idx="13">
                  <c:v>18146.869628624638</c:v>
                </c:pt>
                <c:pt idx="14">
                  <c:v>13855.281855655501</c:v>
                </c:pt>
                <c:pt idx="15">
                  <c:v>8032.7932787186819</c:v>
                </c:pt>
                <c:pt idx="16">
                  <c:v>4025.6797894738688</c:v>
                </c:pt>
                <c:pt idx="17">
                  <c:v>2339.7904972527954</c:v>
                </c:pt>
                <c:pt idx="18">
                  <c:v>2246.0485223154992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17-436E-804F-0E6151DB6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383744"/>
        <c:axId val="138385280"/>
      </c:barChart>
      <c:catAx>
        <c:axId val="13838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38385280"/>
        <c:crosses val="autoZero"/>
        <c:auto val="1"/>
        <c:lblAlgn val="ctr"/>
        <c:lblOffset val="100"/>
        <c:noMultiLvlLbl val="0"/>
      </c:catAx>
      <c:valAx>
        <c:axId val="1383852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38383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Crecimiento Geométrico Población de Totales 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Exponencial!$C$61</c:f>
              <c:strCache>
                <c:ptCount val="1"/>
                <c:pt idx="0">
                  <c:v>2010</c:v>
                </c:pt>
              </c:strCache>
            </c:strRef>
          </c:tx>
          <c:invertIfNegative val="0"/>
          <c:cat>
            <c:numRef>
              <c:f>Exponencial!$B$62:$B$80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Exponencial!$C$62:$C$80</c:f>
              <c:numCache>
                <c:formatCode>General</c:formatCode>
                <c:ptCount val="19"/>
                <c:pt idx="0">
                  <c:v>7771.7399957405214</c:v>
                </c:pt>
                <c:pt idx="1">
                  <c:v>35639.719344075849</c:v>
                </c:pt>
                <c:pt idx="2">
                  <c:v>45858.878614405163</c:v>
                </c:pt>
                <c:pt idx="3">
                  <c:v>45233.51235904052</c:v>
                </c:pt>
                <c:pt idx="4">
                  <c:v>46704.952684267344</c:v>
                </c:pt>
                <c:pt idx="5">
                  <c:v>45944.69391579325</c:v>
                </c:pt>
                <c:pt idx="6">
                  <c:v>41317.543194626138</c:v>
                </c:pt>
                <c:pt idx="7">
                  <c:v>38529.758872485429</c:v>
                </c:pt>
                <c:pt idx="8">
                  <c:v>38418.066707956503</c:v>
                </c:pt>
                <c:pt idx="9">
                  <c:v>35903.872512672497</c:v>
                </c:pt>
                <c:pt idx="10">
                  <c:v>31065.081346791441</c:v>
                </c:pt>
                <c:pt idx="11">
                  <c:v>25527.923302960233</c:v>
                </c:pt>
                <c:pt idx="12">
                  <c:v>18785.489969432649</c:v>
                </c:pt>
                <c:pt idx="13">
                  <c:v>12397.93754639822</c:v>
                </c:pt>
                <c:pt idx="14">
                  <c:v>7657.163483585171</c:v>
                </c:pt>
                <c:pt idx="15">
                  <c:v>4712.0590573253048</c:v>
                </c:pt>
                <c:pt idx="16">
                  <c:v>2981.9419896912368</c:v>
                </c:pt>
                <c:pt idx="17">
                  <c:v>1805.8493956348013</c:v>
                </c:pt>
                <c:pt idx="18">
                  <c:v>1390.2811119077182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F-41D4-964F-EA65923677FD}"/>
            </c:ext>
          </c:extLst>
        </c:ser>
        <c:ser>
          <c:idx val="1"/>
          <c:order val="1"/>
          <c:tx>
            <c:strRef>
              <c:f>Exponencial!$D$61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cat>
            <c:numRef>
              <c:f>Exponencial!$B$62:$B$80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Exponencial!$D$62:$D$80</c:f>
              <c:numCache>
                <c:formatCode>General</c:formatCode>
                <c:ptCount val="19"/>
                <c:pt idx="0">
                  <c:v>6924.4026646716902</c:v>
                </c:pt>
                <c:pt idx="1">
                  <c:v>32342.783965374241</c:v>
                </c:pt>
                <c:pt idx="2">
                  <c:v>41788.483499591792</c:v>
                </c:pt>
                <c:pt idx="3">
                  <c:v>42800.583226091301</c:v>
                </c:pt>
                <c:pt idx="4">
                  <c:v>44350.465640196766</c:v>
                </c:pt>
                <c:pt idx="5">
                  <c:v>44313.173286626406</c:v>
                </c:pt>
                <c:pt idx="6">
                  <c:v>41750.33710354074</c:v>
                </c:pt>
                <c:pt idx="7">
                  <c:v>39368.587530901204</c:v>
                </c:pt>
                <c:pt idx="8">
                  <c:v>37981.952572309689</c:v>
                </c:pt>
                <c:pt idx="9">
                  <c:v>35886.685234029705</c:v>
                </c:pt>
                <c:pt idx="10">
                  <c:v>33412.620688798001</c:v>
                </c:pt>
                <c:pt idx="11">
                  <c:v>29536.533789633235</c:v>
                </c:pt>
                <c:pt idx="12">
                  <c:v>23529.511740186157</c:v>
                </c:pt>
                <c:pt idx="13">
                  <c:v>17233.430866347451</c:v>
                </c:pt>
                <c:pt idx="14">
                  <c:v>11507.630289870136</c:v>
                </c:pt>
                <c:pt idx="15">
                  <c:v>7051.2724841165627</c:v>
                </c:pt>
                <c:pt idx="16">
                  <c:v>4120.6266750497443</c:v>
                </c:pt>
                <c:pt idx="17">
                  <c:v>2411.6211734319672</c:v>
                </c:pt>
                <c:pt idx="18">
                  <c:v>1890.2424109995309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EF-41D4-964F-EA65923677FD}"/>
            </c:ext>
          </c:extLst>
        </c:ser>
        <c:ser>
          <c:idx val="2"/>
          <c:order val="2"/>
          <c:tx>
            <c:strRef>
              <c:f>Exponencial!$E$61</c:f>
              <c:strCache>
                <c:ptCount val="1"/>
                <c:pt idx="0">
                  <c:v>2020</c:v>
                </c:pt>
              </c:strCache>
            </c:strRef>
          </c:tx>
          <c:invertIfNegative val="0"/>
          <c:cat>
            <c:numRef>
              <c:f>Exponencial!$B$62:$B$80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Exponencial!$E$62:$E$80</c:f>
              <c:numCache>
                <c:formatCode>General</c:formatCode>
                <c:ptCount val="19"/>
                <c:pt idx="0">
                  <c:v>6169.0941167785786</c:v>
                </c:pt>
                <c:pt idx="1">
                  <c:v>29349.432231243365</c:v>
                </c:pt>
                <c:pt idx="2">
                  <c:v>38078.571352381288</c:v>
                </c:pt>
                <c:pt idx="3">
                  <c:v>40498.213932833154</c:v>
                </c:pt>
                <c:pt idx="4">
                  <c:v>42116.076555834559</c:v>
                </c:pt>
                <c:pt idx="5">
                  <c:v>42740.259008850626</c:v>
                </c:pt>
                <c:pt idx="6">
                  <c:v>42190.607136392369</c:v>
                </c:pt>
                <c:pt idx="7">
                  <c:v>40233.086392966346</c:v>
                </c:pt>
                <c:pt idx="8">
                  <c:v>37553.535203137821</c:v>
                </c:pt>
                <c:pt idx="9">
                  <c:v>35869.649553642557</c:v>
                </c:pt>
                <c:pt idx="10">
                  <c:v>35942.090798964811</c:v>
                </c:pt>
                <c:pt idx="11">
                  <c:v>34182.75305819964</c:v>
                </c:pt>
                <c:pt idx="12">
                  <c:v>29485.626447844767</c:v>
                </c:pt>
                <c:pt idx="13">
                  <c:v>23974.978611125502</c:v>
                </c:pt>
                <c:pt idx="14">
                  <c:v>17300.041665729688</c:v>
                </c:pt>
                <c:pt idx="15">
                  <c:v>10559.828282893121</c:v>
                </c:pt>
                <c:pt idx="16">
                  <c:v>5704.4668417409475</c:v>
                </c:pt>
                <c:pt idx="17">
                  <c:v>3227.8626259579673</c:v>
                </c:pt>
                <c:pt idx="18">
                  <c:v>2570.4915242850038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EF-41D4-964F-EA65923677FD}"/>
            </c:ext>
          </c:extLst>
        </c:ser>
        <c:ser>
          <c:idx val="3"/>
          <c:order val="3"/>
          <c:tx>
            <c:strRef>
              <c:f>Exponencial!$F$61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numRef>
              <c:f>Exponencial!$B$62:$B$80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Exponencial!$F$62:$F$80</c:f>
              <c:numCache>
                <c:formatCode>General</c:formatCode>
                <c:ptCount val="19"/>
                <c:pt idx="0">
                  <c:v>5496.5529599662186</c:v>
                </c:pt>
                <c:pt idx="1">
                  <c:v>26634.672433367254</c:v>
                </c:pt>
                <c:pt idx="2">
                  <c:v>34700.819977319494</c:v>
                </c:pt>
                <c:pt idx="3">
                  <c:v>38321.733572790865</c:v>
                </c:pt>
                <c:pt idx="4">
                  <c:v>39997.852329649177</c:v>
                </c:pt>
                <c:pt idx="5">
                  <c:v>41225.453218746778</c:v>
                </c:pt>
                <c:pt idx="6">
                  <c:v>42638.004807754747</c:v>
                </c:pt>
                <c:pt idx="7">
                  <c:v>41123.169543549157</c:v>
                </c:pt>
                <c:pt idx="8">
                  <c:v>37133.129235987377</c:v>
                </c:pt>
                <c:pt idx="9">
                  <c:v>35852.783860276017</c:v>
                </c:pt>
                <c:pt idx="10">
                  <c:v>38664.833562843094</c:v>
                </c:pt>
                <c:pt idx="11">
                  <c:v>39562.930051573436</c:v>
                </c:pt>
                <c:pt idx="12">
                  <c:v>36957.898620134947</c:v>
                </c:pt>
                <c:pt idx="13">
                  <c:v>33369.615668585961</c:v>
                </c:pt>
                <c:pt idx="14">
                  <c:v>26005.055765297926</c:v>
                </c:pt>
                <c:pt idx="15">
                  <c:v>15819.303702344383</c:v>
                </c:pt>
                <c:pt idx="16">
                  <c:v>7908.6890307717922</c:v>
                </c:pt>
                <c:pt idx="17">
                  <c:v>4328.8598056612191</c:v>
                </c:pt>
                <c:pt idx="18">
                  <c:v>3495.0425811317637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EF-41D4-964F-EA6592367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414336"/>
        <c:axId val="138416128"/>
      </c:barChart>
      <c:catAx>
        <c:axId val="13841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38416128"/>
        <c:crosses val="autoZero"/>
        <c:auto val="1"/>
        <c:lblAlgn val="ctr"/>
        <c:lblOffset val="100"/>
        <c:noMultiLvlLbl val="0"/>
      </c:catAx>
      <c:valAx>
        <c:axId val="1384161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384143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8</xdr:row>
      <xdr:rowOff>95250</xdr:rowOff>
    </xdr:from>
    <xdr:to>
      <xdr:col>11</xdr:col>
      <xdr:colOff>247650</xdr:colOff>
      <xdr:row>22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238124</xdr:colOff>
      <xdr:row>8</xdr:row>
      <xdr:rowOff>142874</xdr:rowOff>
    </xdr:from>
    <xdr:to>
      <xdr:col>23</xdr:col>
      <xdr:colOff>552450</xdr:colOff>
      <xdr:row>22</xdr:row>
      <xdr:rowOff>95249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636983</xdr:colOff>
      <xdr:row>38</xdr:row>
      <xdr:rowOff>68035</xdr:rowOff>
    </xdr:from>
    <xdr:to>
      <xdr:col>13</xdr:col>
      <xdr:colOff>231322</xdr:colOff>
      <xdr:row>55</xdr:row>
      <xdr:rowOff>180293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748392</xdr:colOff>
      <xdr:row>39</xdr:row>
      <xdr:rowOff>27214</xdr:rowOff>
    </xdr:from>
    <xdr:to>
      <xdr:col>29</xdr:col>
      <xdr:colOff>707572</xdr:colOff>
      <xdr:row>56</xdr:row>
      <xdr:rowOff>122465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13607</xdr:colOff>
      <xdr:row>62</xdr:row>
      <xdr:rowOff>13606</xdr:rowOff>
    </xdr:from>
    <xdr:to>
      <xdr:col>13</xdr:col>
      <xdr:colOff>231321</xdr:colOff>
      <xdr:row>79</xdr:row>
      <xdr:rowOff>175022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732232</xdr:colOff>
      <xdr:row>36</xdr:row>
      <xdr:rowOff>39289</xdr:rowOff>
    </xdr:from>
    <xdr:to>
      <xdr:col>15</xdr:col>
      <xdr:colOff>488156</xdr:colOff>
      <xdr:row>57</xdr:row>
      <xdr:rowOff>119062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36</xdr:row>
      <xdr:rowOff>0</xdr:rowOff>
    </xdr:from>
    <xdr:to>
      <xdr:col>31</xdr:col>
      <xdr:colOff>517924</xdr:colOff>
      <xdr:row>57</xdr:row>
      <xdr:rowOff>79773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59</xdr:row>
      <xdr:rowOff>0</xdr:rowOff>
    </xdr:from>
    <xdr:to>
      <xdr:col>15</xdr:col>
      <xdr:colOff>517924</xdr:colOff>
      <xdr:row>80</xdr:row>
      <xdr:rowOff>79773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8"/>
  <sheetViews>
    <sheetView zoomScaleNormal="100" workbookViewId="0"/>
  </sheetViews>
  <sheetFormatPr baseColWidth="10" defaultRowHeight="15" x14ac:dyDescent="0.25"/>
  <sheetData>
    <row r="1" spans="1:16" x14ac:dyDescent="0.25">
      <c r="A1" s="99" t="s">
        <v>67</v>
      </c>
    </row>
    <row r="3" spans="1:16" ht="17.25" customHeight="1" x14ac:dyDescent="0.25">
      <c r="B3" s="60" t="s">
        <v>64</v>
      </c>
      <c r="C3" s="60"/>
      <c r="D3" s="60"/>
      <c r="F3" s="61" t="s">
        <v>65</v>
      </c>
      <c r="G3" s="61"/>
      <c r="H3" s="61"/>
      <c r="J3" s="93" t="s">
        <v>5</v>
      </c>
      <c r="K3" s="93"/>
      <c r="L3" s="93"/>
      <c r="N3" s="93" t="s">
        <v>4</v>
      </c>
      <c r="O3" s="93"/>
      <c r="P3" s="93"/>
    </row>
    <row r="4" spans="1:16" ht="15.75" customHeight="1" x14ac:dyDescent="0.25">
      <c r="B4" s="60"/>
      <c r="C4" s="60"/>
      <c r="D4" s="60"/>
      <c r="F4" s="61"/>
      <c r="G4" s="61"/>
      <c r="H4" s="61"/>
      <c r="J4" s="93"/>
      <c r="K4" s="93"/>
      <c r="L4" s="93"/>
      <c r="N4" s="93"/>
      <c r="O4" s="93"/>
      <c r="P4" s="93"/>
    </row>
    <row r="5" spans="1:16" ht="17.25" customHeight="1" x14ac:dyDescent="0.25">
      <c r="B5" s="59" t="s">
        <v>0</v>
      </c>
      <c r="C5" s="59"/>
      <c r="D5" s="59"/>
      <c r="F5" s="62" t="s">
        <v>0</v>
      </c>
      <c r="G5" s="62"/>
      <c r="H5" s="62"/>
      <c r="J5" s="63" t="s">
        <v>26</v>
      </c>
      <c r="K5" s="63"/>
      <c r="L5" s="63"/>
      <c r="N5" s="63" t="s">
        <v>26</v>
      </c>
      <c r="O5" s="63"/>
      <c r="P5" s="63"/>
    </row>
    <row r="6" spans="1:16" ht="15.75" x14ac:dyDescent="0.25">
      <c r="B6" s="22" t="s">
        <v>1</v>
      </c>
      <c r="C6" s="88" t="s">
        <v>2</v>
      </c>
      <c r="D6" s="89" t="s">
        <v>3</v>
      </c>
      <c r="F6" s="92" t="s">
        <v>1</v>
      </c>
      <c r="G6" s="10" t="s">
        <v>2</v>
      </c>
      <c r="H6" s="98" t="s">
        <v>3</v>
      </c>
      <c r="J6" s="95"/>
      <c r="K6" s="96" t="s">
        <v>6</v>
      </c>
      <c r="L6" s="98" t="s">
        <v>7</v>
      </c>
      <c r="N6" s="95"/>
      <c r="O6" s="96" t="s">
        <v>6</v>
      </c>
      <c r="P6" s="98" t="s">
        <v>7</v>
      </c>
    </row>
    <row r="7" spans="1:16" ht="15.75" x14ac:dyDescent="0.25">
      <c r="B7" s="22">
        <v>0</v>
      </c>
      <c r="C7" s="90">
        <v>3911.4134334406926</v>
      </c>
      <c r="D7" s="90">
        <v>3868.9299915829729</v>
      </c>
      <c r="F7" s="92">
        <v>0</v>
      </c>
      <c r="G7" s="5">
        <v>3136.9322379643954</v>
      </c>
      <c r="H7" s="5">
        <v>3074.032299038287</v>
      </c>
      <c r="J7" s="97" t="s">
        <v>8</v>
      </c>
      <c r="K7" s="7">
        <v>22111.127615553611</v>
      </c>
      <c r="L7" s="7">
        <v>21342.106986132334</v>
      </c>
      <c r="N7" s="97" t="s">
        <v>8</v>
      </c>
      <c r="O7" s="7">
        <v>18130.167534187203</v>
      </c>
      <c r="P7" s="7">
        <v>17597.634118127382</v>
      </c>
    </row>
    <row r="8" spans="1:16" ht="15.75" x14ac:dyDescent="0.25">
      <c r="B8" s="22">
        <v>1</v>
      </c>
      <c r="C8" s="90">
        <v>4194.0682123584238</v>
      </c>
      <c r="D8" s="90">
        <v>4051.8100857229247</v>
      </c>
      <c r="F8" s="92">
        <v>1</v>
      </c>
      <c r="G8" s="5">
        <v>3533.1763101283186</v>
      </c>
      <c r="H8" s="5">
        <v>3323.1970264017418</v>
      </c>
      <c r="J8" s="97" t="s">
        <v>9</v>
      </c>
      <c r="K8" s="7">
        <v>23487.798733016229</v>
      </c>
      <c r="L8" s="7">
        <v>22411.955536851056</v>
      </c>
      <c r="N8" s="97" t="s">
        <v>9</v>
      </c>
      <c r="O8" s="7">
        <v>19387.942278404505</v>
      </c>
      <c r="P8" s="7">
        <v>18898.494140506864</v>
      </c>
    </row>
    <row r="9" spans="1:16" ht="15.75" x14ac:dyDescent="0.25">
      <c r="B9" s="22">
        <v>2</v>
      </c>
      <c r="C9" s="90">
        <v>4606.8661988353988</v>
      </c>
      <c r="D9" s="90">
        <v>4479.5463059058111</v>
      </c>
      <c r="F9" s="92">
        <v>2</v>
      </c>
      <c r="G9" s="5">
        <v>3711.2860193333149</v>
      </c>
      <c r="H9" s="5">
        <v>3615.3902006592875</v>
      </c>
      <c r="J9" s="97" t="s">
        <v>10</v>
      </c>
      <c r="K9" s="7">
        <v>22933.736903568461</v>
      </c>
      <c r="L9" s="7">
        <v>22323.753991448139</v>
      </c>
      <c r="N9" s="97" t="s">
        <v>10</v>
      </c>
      <c r="O9" s="7">
        <v>20778.298688181705</v>
      </c>
      <c r="P9" s="7">
        <v>19851.249024205375</v>
      </c>
    </row>
    <row r="10" spans="1:16" ht="15.75" x14ac:dyDescent="0.25">
      <c r="B10" s="22">
        <v>3</v>
      </c>
      <c r="C10" s="90">
        <v>4651.6029264338886</v>
      </c>
      <c r="D10" s="90">
        <v>4585.2103602977832</v>
      </c>
      <c r="F10" s="92">
        <v>3</v>
      </c>
      <c r="G10" s="5">
        <v>3825.35628253202</v>
      </c>
      <c r="H10" s="5">
        <v>3775.4960495675318</v>
      </c>
      <c r="J10" s="97" t="s">
        <v>11</v>
      </c>
      <c r="K10" s="7">
        <v>23506.544946995709</v>
      </c>
      <c r="L10" s="7">
        <v>23221.58095361646</v>
      </c>
      <c r="N10" s="97" t="s">
        <v>11</v>
      </c>
      <c r="O10" s="7">
        <v>21574.163912670039</v>
      </c>
      <c r="P10" s="7">
        <v>20669.540011359859</v>
      </c>
    </row>
    <row r="11" spans="1:16" ht="15.75" x14ac:dyDescent="0.25">
      <c r="B11" s="22">
        <v>4</v>
      </c>
      <c r="C11" s="90">
        <v>4747.1768444852078</v>
      </c>
      <c r="D11" s="90">
        <v>4356.6102426228435</v>
      </c>
      <c r="F11" s="92">
        <v>4</v>
      </c>
      <c r="G11" s="5">
        <v>3923.4166842291525</v>
      </c>
      <c r="H11" s="5">
        <v>3809.5185424605334</v>
      </c>
      <c r="J11" s="97" t="s">
        <v>12</v>
      </c>
      <c r="K11" s="7">
        <v>22931.449229998077</v>
      </c>
      <c r="L11" s="7">
        <v>23029.175854573386</v>
      </c>
      <c r="N11" s="97" t="s">
        <v>12</v>
      </c>
      <c r="O11" s="7">
        <v>21618.69133997129</v>
      </c>
      <c r="P11" s="7">
        <v>21212.086198578225</v>
      </c>
    </row>
    <row r="12" spans="1:16" ht="15.75" x14ac:dyDescent="0.25">
      <c r="B12" s="22">
        <v>5</v>
      </c>
      <c r="C12" s="90">
        <v>4600.7657359810592</v>
      </c>
      <c r="D12" s="90">
        <v>4312.9222201338553</v>
      </c>
      <c r="F12" s="92">
        <v>5</v>
      </c>
      <c r="G12" s="5">
        <v>4052.4961925855823</v>
      </c>
      <c r="H12" s="5">
        <v>3988.6369609266317</v>
      </c>
      <c r="J12" s="97" t="s">
        <v>13</v>
      </c>
      <c r="K12" s="7">
        <v>20139.915555745152</v>
      </c>
      <c r="L12" s="7">
        <v>21173.51439934707</v>
      </c>
      <c r="N12" s="97" t="s">
        <v>13</v>
      </c>
      <c r="O12" s="7">
        <v>20883.926250979195</v>
      </c>
      <c r="P12" s="7">
        <v>21280.69405648929</v>
      </c>
    </row>
    <row r="13" spans="1:16" ht="15.75" x14ac:dyDescent="0.25">
      <c r="B13" s="22">
        <v>6</v>
      </c>
      <c r="C13" s="90">
        <v>4689.2224473689821</v>
      </c>
      <c r="D13" s="90">
        <v>4487.6743100898093</v>
      </c>
      <c r="F13" s="92">
        <v>5</v>
      </c>
      <c r="G13" s="5">
        <v>3793.3365595288747</v>
      </c>
      <c r="H13" s="5">
        <v>3669.4259246658198</v>
      </c>
      <c r="J13" s="97" t="s">
        <v>14</v>
      </c>
      <c r="K13" s="7">
        <v>18225.323416803534</v>
      </c>
      <c r="L13" s="7">
        <v>20296.515447900238</v>
      </c>
      <c r="N13" s="97" t="s">
        <v>14</v>
      </c>
      <c r="O13" s="7">
        <v>19524.714024904268</v>
      </c>
      <c r="P13" s="7">
        <v>20657.031741913896</v>
      </c>
    </row>
    <row r="14" spans="1:16" ht="15.75" x14ac:dyDescent="0.25">
      <c r="B14" s="22">
        <v>7</v>
      </c>
      <c r="C14" s="90">
        <v>4565.1797026640788</v>
      </c>
      <c r="D14" s="90">
        <v>4479.5463059058111</v>
      </c>
      <c r="F14" s="92">
        <v>5</v>
      </c>
      <c r="G14" s="5">
        <v>3758.3149874941846</v>
      </c>
      <c r="H14" s="5">
        <v>3695.4431251134097</v>
      </c>
      <c r="J14" s="97" t="s">
        <v>15</v>
      </c>
      <c r="K14" s="7">
        <v>17984.418680545186</v>
      </c>
      <c r="L14" s="7">
        <v>20437.866520662577</v>
      </c>
      <c r="N14" s="97" t="s">
        <v>15</v>
      </c>
      <c r="O14" s="7">
        <v>17915.472789910251</v>
      </c>
      <c r="P14" s="7">
        <v>19662.937027696502</v>
      </c>
    </row>
    <row r="15" spans="1:16" ht="15.75" x14ac:dyDescent="0.25">
      <c r="B15" s="22">
        <v>8</v>
      </c>
      <c r="C15" s="90">
        <v>4937.3079367787896</v>
      </c>
      <c r="D15" s="90">
        <v>4611.6263738957759</v>
      </c>
      <c r="F15" s="92">
        <v>5</v>
      </c>
      <c r="G15" s="5">
        <v>4160.5627577211981</v>
      </c>
      <c r="H15" s="5">
        <v>3891.5727900260085</v>
      </c>
      <c r="J15" s="97" t="s">
        <v>16</v>
      </c>
      <c r="K15" s="7">
        <v>16905.971231576477</v>
      </c>
      <c r="L15" s="7">
        <v>18998.066779506582</v>
      </c>
      <c r="N15" s="97" t="s">
        <v>16</v>
      </c>
      <c r="O15" s="7">
        <v>16818.171891837617</v>
      </c>
      <c r="P15" s="7">
        <v>19052.470937386592</v>
      </c>
    </row>
    <row r="16" spans="1:16" ht="15.75" x14ac:dyDescent="0.25">
      <c r="B16" s="22">
        <v>9</v>
      </c>
      <c r="C16" s="90">
        <v>4695.3229102233217</v>
      </c>
      <c r="D16" s="90">
        <v>4520.1863268258003</v>
      </c>
      <c r="F16" s="92">
        <v>5</v>
      </c>
      <c r="G16" s="5">
        <v>3623.2317810746649</v>
      </c>
      <c r="H16" s="5">
        <v>3653.4153397749956</v>
      </c>
      <c r="J16" s="97" t="s">
        <v>17</v>
      </c>
      <c r="K16" s="7">
        <v>14713.998672226606</v>
      </c>
      <c r="L16" s="7">
        <v>16329.414405782412</v>
      </c>
      <c r="N16" s="97" t="s">
        <v>17</v>
      </c>
      <c r="O16" s="7">
        <v>16639.74949002517</v>
      </c>
      <c r="P16" s="7">
        <v>19148.972236162146</v>
      </c>
    </row>
    <row r="17" spans="2:16" ht="15.75" x14ac:dyDescent="0.25">
      <c r="B17" s="22">
        <v>10</v>
      </c>
      <c r="C17" s="90">
        <v>4812.2484482648297</v>
      </c>
      <c r="D17" s="90">
        <v>4581.1463582057841</v>
      </c>
      <c r="F17" s="92">
        <v>5</v>
      </c>
      <c r="G17" s="5">
        <v>4326.6650708000143</v>
      </c>
      <c r="H17" s="5">
        <v>4017.6561460412508</v>
      </c>
      <c r="J17" s="97" t="s">
        <v>18</v>
      </c>
      <c r="K17" s="7">
        <v>12167.627348932449</v>
      </c>
      <c r="L17" s="7">
        <v>13324.656359043402</v>
      </c>
      <c r="N17" s="97" t="s">
        <v>18</v>
      </c>
      <c r="O17" s="7">
        <v>15761.270878647863</v>
      </c>
      <c r="P17" s="7">
        <v>18130.111148441749</v>
      </c>
    </row>
    <row r="18" spans="2:16" ht="15.75" x14ac:dyDescent="0.25">
      <c r="B18" s="22">
        <v>11</v>
      </c>
      <c r="C18" s="90">
        <v>4336.412345626346</v>
      </c>
      <c r="D18" s="90">
        <v>4360.6742447148426</v>
      </c>
      <c r="F18" s="92">
        <v>5</v>
      </c>
      <c r="G18" s="5">
        <v>3947.4314764815117</v>
      </c>
      <c r="H18" s="5">
        <v>3749.478849119942</v>
      </c>
      <c r="J18" s="97" t="s">
        <v>19</v>
      </c>
      <c r="K18" s="7">
        <v>9131.0584166968838</v>
      </c>
      <c r="L18" s="7">
        <v>9613.9684489176361</v>
      </c>
      <c r="N18" s="97" t="s">
        <v>19</v>
      </c>
      <c r="O18" s="7">
        <v>13641.277538640783</v>
      </c>
      <c r="P18" s="7">
        <v>15456.968885146374</v>
      </c>
    </row>
    <row r="19" spans="2:16" ht="15.75" x14ac:dyDescent="0.25">
      <c r="B19" s="22">
        <v>12</v>
      </c>
      <c r="C19" s="90">
        <v>4499.0913550754003</v>
      </c>
      <c r="D19" s="90">
        <v>4291.5862091508607</v>
      </c>
      <c r="F19" s="92">
        <v>5</v>
      </c>
      <c r="G19" s="5">
        <v>4365.6891082100974</v>
      </c>
      <c r="H19" s="5">
        <v>4176.7613333938189</v>
      </c>
      <c r="J19" s="97" t="s">
        <v>20</v>
      </c>
      <c r="K19" s="7">
        <v>6113.9347098095259</v>
      </c>
      <c r="L19" s="7">
        <v>6244.9742146832168</v>
      </c>
      <c r="N19" s="97" t="s">
        <v>20</v>
      </c>
      <c r="O19" s="7">
        <v>11045.053357483408</v>
      </c>
      <c r="P19" s="7">
        <v>12470.369389535324</v>
      </c>
    </row>
    <row r="20" spans="2:16" ht="15.75" x14ac:dyDescent="0.25">
      <c r="B20" s="22">
        <v>13</v>
      </c>
      <c r="C20" s="90">
        <v>4315.0607256361582</v>
      </c>
      <c r="D20" s="90">
        <v>4227.5781762018778</v>
      </c>
      <c r="F20" s="92">
        <v>5</v>
      </c>
      <c r="G20" s="5">
        <v>4035.4857147401613</v>
      </c>
      <c r="H20" s="5">
        <v>3920.5919751406277</v>
      </c>
      <c r="J20" s="97" t="s">
        <v>21</v>
      </c>
      <c r="K20" s="7">
        <v>3681.9470650342337</v>
      </c>
      <c r="L20" s="7">
        <v>3945.3840309387033</v>
      </c>
      <c r="N20" s="97" t="s">
        <v>21</v>
      </c>
      <c r="O20" s="7">
        <v>7984.1054231299913</v>
      </c>
      <c r="P20" s="7">
        <v>8907.7015445907437</v>
      </c>
    </row>
    <row r="21" spans="2:16" ht="15.75" x14ac:dyDescent="0.25">
      <c r="B21" s="22">
        <v>14</v>
      </c>
      <c r="C21" s="90">
        <v>4360.8141970437046</v>
      </c>
      <c r="D21" s="90">
        <v>4338.322233208848</v>
      </c>
      <c r="F21" s="92">
        <v>5</v>
      </c>
      <c r="G21" s="5">
        <v>4134.5467327811421</v>
      </c>
      <c r="H21" s="5">
        <v>3887.5701438033025</v>
      </c>
      <c r="J21" s="97" t="s">
        <v>22</v>
      </c>
      <c r="K21" s="7">
        <v>2145.7107160377964</v>
      </c>
      <c r="L21" s="7">
        <v>2548.1928117160114</v>
      </c>
      <c r="N21" s="97" t="s">
        <v>22</v>
      </c>
      <c r="O21" s="7">
        <v>4948.6106670232184</v>
      </c>
      <c r="P21" s="7">
        <v>5364.233893245706</v>
      </c>
    </row>
    <row r="22" spans="2:16" ht="15.75" x14ac:dyDescent="0.25">
      <c r="B22" s="22">
        <v>15</v>
      </c>
      <c r="C22" s="90">
        <v>4685.1554721327557</v>
      </c>
      <c r="D22" s="90">
        <v>4522.2183278717994</v>
      </c>
      <c r="F22" s="92">
        <v>5</v>
      </c>
      <c r="G22" s="5">
        <v>4283.6385680145377</v>
      </c>
      <c r="H22" s="5">
        <v>4184.766625839231</v>
      </c>
      <c r="J22" s="97" t="s">
        <v>23</v>
      </c>
      <c r="K22" s="7">
        <v>1279.0637117931874</v>
      </c>
      <c r="L22" s="7">
        <v>1693.6728718405504</v>
      </c>
      <c r="N22" s="97" t="s">
        <v>23</v>
      </c>
      <c r="O22" s="7">
        <v>2627.6185189456146</v>
      </c>
      <c r="P22" s="7">
        <v>2968.9628356922517</v>
      </c>
    </row>
    <row r="23" spans="2:16" ht="15.75" x14ac:dyDescent="0.25">
      <c r="B23" s="22">
        <v>16</v>
      </c>
      <c r="C23" s="90">
        <v>4418.7685941599302</v>
      </c>
      <c r="D23" s="90">
        <v>4435.8582834168228</v>
      </c>
      <c r="F23" s="92">
        <v>5</v>
      </c>
      <c r="G23" s="5">
        <v>4047.4931108663409</v>
      </c>
      <c r="H23" s="5">
        <v>3948.6104986995706</v>
      </c>
      <c r="J23" s="97" t="s">
        <v>24</v>
      </c>
      <c r="K23" s="7">
        <v>704.60345967621515</v>
      </c>
      <c r="L23" s="7">
        <v>1096.2645643167089</v>
      </c>
      <c r="N23" s="97" t="s">
        <v>24</v>
      </c>
      <c r="O23" s="7">
        <v>1380.850554510643</v>
      </c>
      <c r="P23" s="7">
        <v>1792.1848462166577</v>
      </c>
    </row>
    <row r="24" spans="2:16" ht="15.75" x14ac:dyDescent="0.25">
      <c r="B24" s="22">
        <v>17</v>
      </c>
      <c r="C24" s="90">
        <v>4920.0232920248282</v>
      </c>
      <c r="D24" s="90">
        <v>4831.0824868637173</v>
      </c>
      <c r="F24" s="92">
        <v>5</v>
      </c>
      <c r="G24" s="5">
        <v>4445.7384157179613</v>
      </c>
      <c r="H24" s="5">
        <v>4261.8175656263229</v>
      </c>
      <c r="J24" s="97" t="s">
        <v>25</v>
      </c>
      <c r="K24" s="7">
        <v>505.32167310112402</v>
      </c>
      <c r="L24" s="7">
        <v>880.87245344076598</v>
      </c>
      <c r="N24" s="97" t="s">
        <v>25</v>
      </c>
      <c r="O24" s="7">
        <v>908.55964021424904</v>
      </c>
      <c r="P24" s="7">
        <v>1616.0684124175893</v>
      </c>
    </row>
    <row r="25" spans="2:16" x14ac:dyDescent="0.25">
      <c r="B25" s="22">
        <v>18</v>
      </c>
      <c r="C25" s="90">
        <v>5204.7115585606725</v>
      </c>
      <c r="D25" s="90">
        <v>5091.1786207516489</v>
      </c>
      <c r="F25" s="92">
        <v>5</v>
      </c>
      <c r="G25" s="5">
        <v>4874.0022108850299</v>
      </c>
      <c r="H25" s="5">
        <v>4455.9459074275692</v>
      </c>
      <c r="J25" s="5"/>
      <c r="K25" s="94">
        <f>SUM(K7:K24)</f>
        <v>238669.55208711044</v>
      </c>
      <c r="L25" s="12">
        <f>SUM(L7:L24)</f>
        <v>248911.93663071733</v>
      </c>
      <c r="N25" s="5"/>
      <c r="O25" s="12">
        <f>SUM(O7:O24)</f>
        <v>251568.64477966697</v>
      </c>
      <c r="P25" s="12">
        <f>SUM(P7:P24)</f>
        <v>264737.71044771251</v>
      </c>
    </row>
    <row r="26" spans="2:16" x14ac:dyDescent="0.25">
      <c r="B26" s="22">
        <v>19</v>
      </c>
      <c r="C26" s="90">
        <v>4532.6439007742674</v>
      </c>
      <c r="D26" s="90">
        <v>4633.9783854017696</v>
      </c>
      <c r="F26" s="92">
        <v>5</v>
      </c>
      <c r="G26" s="5">
        <v>3968.4444197023258</v>
      </c>
      <c r="H26" s="5">
        <v>3937.6032215871287</v>
      </c>
    </row>
    <row r="27" spans="2:16" x14ac:dyDescent="0.25">
      <c r="B27" s="22">
        <v>20</v>
      </c>
      <c r="C27" s="90">
        <v>5126.4222852633147</v>
      </c>
      <c r="D27" s="90">
        <v>5038.3465935556624</v>
      </c>
      <c r="F27" s="92">
        <v>5</v>
      </c>
      <c r="G27" s="5">
        <v>4828.9744754118565</v>
      </c>
      <c r="H27" s="5">
        <v>4710.1139425694064</v>
      </c>
    </row>
    <row r="28" spans="2:16" x14ac:dyDescent="0.25">
      <c r="B28" s="22">
        <v>21</v>
      </c>
      <c r="C28" s="90">
        <v>4462.4885779493634</v>
      </c>
      <c r="D28" s="90">
        <v>4408.42626929583</v>
      </c>
      <c r="F28" s="92">
        <v>5</v>
      </c>
      <c r="G28" s="5">
        <v>4019.4758532385886</v>
      </c>
      <c r="H28" s="5">
        <v>3911.5860211395393</v>
      </c>
    </row>
    <row r="29" spans="2:16" x14ac:dyDescent="0.25">
      <c r="B29" s="22">
        <v>22</v>
      </c>
      <c r="C29" s="90">
        <v>4696.3396540323783</v>
      </c>
      <c r="D29" s="90">
        <v>4818.890480587721</v>
      </c>
      <c r="F29" s="92">
        <v>5</v>
      </c>
      <c r="G29" s="5">
        <v>4371.6928062731877</v>
      </c>
      <c r="H29" s="5">
        <v>4313.8519665215026</v>
      </c>
    </row>
    <row r="30" spans="2:16" x14ac:dyDescent="0.25">
      <c r="B30" s="22">
        <v>23</v>
      </c>
      <c r="C30" s="90">
        <v>4582.4643474180402</v>
      </c>
      <c r="D30" s="90">
        <v>4455.1622933538174</v>
      </c>
      <c r="F30" s="92">
        <v>5</v>
      </c>
      <c r="G30" s="5">
        <v>4159.5621413773497</v>
      </c>
      <c r="H30" s="5">
        <v>4008.650192040162</v>
      </c>
    </row>
    <row r="31" spans="2:16" x14ac:dyDescent="0.25">
      <c r="B31" s="22">
        <v>24</v>
      </c>
      <c r="C31" s="90">
        <v>4314.0439818271016</v>
      </c>
      <c r="D31" s="90">
        <v>4455.1622933538174</v>
      </c>
      <c r="F31" s="92">
        <v>5</v>
      </c>
      <c r="G31" s="5">
        <v>4164.5652230965907</v>
      </c>
      <c r="H31" s="5">
        <v>4107.7156860521382</v>
      </c>
    </row>
    <row r="32" spans="2:16" x14ac:dyDescent="0.25">
      <c r="B32" s="22">
        <v>25</v>
      </c>
      <c r="C32" s="90">
        <v>4437.0699827229482</v>
      </c>
      <c r="D32" s="90">
        <v>4570.9863529757868</v>
      </c>
      <c r="F32" s="92">
        <v>5</v>
      </c>
      <c r="G32" s="5">
        <v>4495.7692329103756</v>
      </c>
      <c r="H32" s="5">
        <v>4727.1251890159074</v>
      </c>
    </row>
    <row r="33" spans="2:8" x14ac:dyDescent="0.25">
      <c r="B33" s="22">
        <v>26</v>
      </c>
      <c r="C33" s="90">
        <v>3971.4013181750315</v>
      </c>
      <c r="D33" s="90">
        <v>4203.1941636498841</v>
      </c>
      <c r="F33" s="92">
        <v>5</v>
      </c>
      <c r="G33" s="5">
        <v>4009.4696898001057</v>
      </c>
      <c r="H33" s="5">
        <v>4195.7739029516724</v>
      </c>
    </row>
    <row r="34" spans="2:8" x14ac:dyDescent="0.25">
      <c r="B34" s="22">
        <v>27</v>
      </c>
      <c r="C34" s="90">
        <v>3962.2506238935221</v>
      </c>
      <c r="D34" s="90">
        <v>4207.2581657418832</v>
      </c>
      <c r="F34" s="92">
        <v>5</v>
      </c>
      <c r="G34" s="5">
        <v>4072.5085194625481</v>
      </c>
      <c r="H34" s="5">
        <v>4152.7454560575816</v>
      </c>
    </row>
    <row r="35" spans="2:8" x14ac:dyDescent="0.25">
      <c r="B35" s="22">
        <v>28</v>
      </c>
      <c r="C35" s="90">
        <v>4089.3436000255956</v>
      </c>
      <c r="D35" s="90">
        <v>4340.3542342548481</v>
      </c>
      <c r="F35" s="92">
        <v>5</v>
      </c>
      <c r="G35" s="5">
        <v>4696.8931180238824</v>
      </c>
      <c r="H35" s="5">
        <v>4481.963107875159</v>
      </c>
    </row>
    <row r="36" spans="2:8" x14ac:dyDescent="0.25">
      <c r="B36" s="22">
        <v>29</v>
      </c>
      <c r="C36" s="90">
        <v>3581.9884393063585</v>
      </c>
      <c r="D36" s="90">
        <v>3765.2979382370004</v>
      </c>
      <c r="F36" s="92">
        <v>5</v>
      </c>
      <c r="G36" s="5">
        <v>3760.3162201818809</v>
      </c>
      <c r="H36" s="5">
        <v>3934.6012369200994</v>
      </c>
    </row>
    <row r="37" spans="2:8" x14ac:dyDescent="0.25">
      <c r="B37" s="22">
        <v>30</v>
      </c>
      <c r="C37" s="90">
        <v>4296.7593370731392</v>
      </c>
      <c r="D37" s="90">
        <v>4708.1464235807507</v>
      </c>
      <c r="F37" s="92">
        <v>5</v>
      </c>
      <c r="G37" s="5">
        <v>5068.1217815915988</v>
      </c>
      <c r="H37" s="5">
        <v>5497.634586886832</v>
      </c>
    </row>
    <row r="38" spans="2:8" x14ac:dyDescent="0.25">
      <c r="B38" s="22">
        <v>31</v>
      </c>
      <c r="C38" s="90">
        <v>2861.1170786852376</v>
      </c>
      <c r="D38" s="90">
        <v>3302.0016997491234</v>
      </c>
      <c r="F38" s="92">
        <v>5</v>
      </c>
      <c r="G38" s="5">
        <v>3102.9112822735533</v>
      </c>
      <c r="H38" s="5">
        <v>3283.1705641746807</v>
      </c>
    </row>
    <row r="39" spans="2:8" x14ac:dyDescent="0.25">
      <c r="B39" s="22">
        <v>32</v>
      </c>
      <c r="C39" s="90">
        <v>3710.0981592474886</v>
      </c>
      <c r="D39" s="90">
        <v>4176.7781500518913</v>
      </c>
      <c r="F39" s="92">
        <v>5</v>
      </c>
      <c r="G39" s="5">
        <v>4160.5627577211981</v>
      </c>
      <c r="H39" s="5">
        <v>4349.8757825258572</v>
      </c>
    </row>
    <row r="40" spans="2:8" x14ac:dyDescent="0.25">
      <c r="B40" s="22">
        <v>33</v>
      </c>
      <c r="C40" s="90">
        <v>3514.8833479086238</v>
      </c>
      <c r="D40" s="90">
        <v>3832.3539727549828</v>
      </c>
      <c r="F40" s="92">
        <v>5</v>
      </c>
      <c r="G40" s="5">
        <v>3574.2015802260989</v>
      </c>
      <c r="H40" s="5">
        <v>3647.4113704409365</v>
      </c>
    </row>
    <row r="41" spans="2:8" x14ac:dyDescent="0.25">
      <c r="B41" s="22">
        <v>34</v>
      </c>
      <c r="C41" s="90">
        <v>3421.3429174754174</v>
      </c>
      <c r="D41" s="90">
        <v>3880.1059973359702</v>
      </c>
      <c r="F41" s="92">
        <v>5</v>
      </c>
      <c r="G41" s="5">
        <v>3445.1220718696691</v>
      </c>
      <c r="H41" s="5">
        <v>3719.4590024496461</v>
      </c>
    </row>
    <row r="42" spans="2:8" x14ac:dyDescent="0.25">
      <c r="B42" s="22">
        <v>35</v>
      </c>
      <c r="C42" s="90">
        <v>3929.7148220037116</v>
      </c>
      <c r="D42" s="90">
        <v>4316.9862222258544</v>
      </c>
      <c r="F42" s="92">
        <v>5</v>
      </c>
      <c r="G42" s="5">
        <v>4258.62315941833</v>
      </c>
      <c r="H42" s="5">
        <v>4556.0120629952216</v>
      </c>
    </row>
    <row r="43" spans="2:8" x14ac:dyDescent="0.25">
      <c r="B43" s="22">
        <v>36</v>
      </c>
      <c r="C43" s="90">
        <v>3673.4953821214513</v>
      </c>
      <c r="D43" s="90">
        <v>4359.6582441918426</v>
      </c>
      <c r="F43" s="92">
        <v>5</v>
      </c>
      <c r="G43" s="5">
        <v>3718.2903337402527</v>
      </c>
      <c r="H43" s="5">
        <v>4101.7117167180786</v>
      </c>
    </row>
    <row r="44" spans="2:8" x14ac:dyDescent="0.25">
      <c r="B44" s="22">
        <v>37</v>
      </c>
      <c r="C44" s="90">
        <v>3630.7921421410747</v>
      </c>
      <c r="D44" s="90">
        <v>3920.7460182559594</v>
      </c>
      <c r="F44" s="92">
        <v>5</v>
      </c>
      <c r="G44" s="5">
        <v>3100.9100495858565</v>
      </c>
      <c r="H44" s="5">
        <v>3424.263843525071</v>
      </c>
    </row>
    <row r="45" spans="2:8" x14ac:dyDescent="0.25">
      <c r="B45" s="22">
        <v>38</v>
      </c>
      <c r="C45" s="90">
        <v>3911.4134334406926</v>
      </c>
      <c r="D45" s="90">
        <v>4503.9303184578048</v>
      </c>
      <c r="F45" s="92">
        <v>5</v>
      </c>
      <c r="G45" s="5">
        <v>3961.4401052953876</v>
      </c>
      <c r="H45" s="5">
        <v>4264.8195502933531</v>
      </c>
    </row>
    <row r="46" spans="2:8" x14ac:dyDescent="0.25">
      <c r="B46" s="22">
        <v>39</v>
      </c>
      <c r="C46" s="90">
        <v>3219.0108994731568</v>
      </c>
      <c r="D46" s="90">
        <v>3780.5379460819968</v>
      </c>
      <c r="F46" s="92">
        <v>5</v>
      </c>
      <c r="G46" s="5">
        <v>3128.9273072136089</v>
      </c>
      <c r="H46" s="5">
        <v>3493.3094908667513</v>
      </c>
    </row>
    <row r="47" spans="2:8" x14ac:dyDescent="0.25">
      <c r="B47" s="22">
        <v>40</v>
      </c>
      <c r="C47" s="90">
        <v>4259.1398161380457</v>
      </c>
      <c r="D47" s="90">
        <v>4829.0504858177183</v>
      </c>
      <c r="F47" s="92">
        <v>5</v>
      </c>
      <c r="G47" s="5">
        <v>4477.7581387211067</v>
      </c>
      <c r="H47" s="5">
        <v>4998.3044706042465</v>
      </c>
    </row>
    <row r="48" spans="2:8" x14ac:dyDescent="0.25">
      <c r="B48" s="22">
        <v>41</v>
      </c>
      <c r="C48" s="90">
        <v>2683.1869121003347</v>
      </c>
      <c r="D48" s="90">
        <v>3079.4975852121825</v>
      </c>
      <c r="F48" s="92">
        <v>5</v>
      </c>
      <c r="G48" s="5">
        <v>2352.4490243873342</v>
      </c>
      <c r="H48" s="5">
        <v>2760.8252321115347</v>
      </c>
    </row>
    <row r="49" spans="2:8" x14ac:dyDescent="0.25">
      <c r="B49" s="22">
        <v>42</v>
      </c>
      <c r="C49" s="90">
        <v>4086.2933685984258</v>
      </c>
      <c r="D49" s="90">
        <v>4376.9302530828381</v>
      </c>
      <c r="F49" s="92">
        <v>5</v>
      </c>
      <c r="G49" s="5">
        <v>3775.3254653396057</v>
      </c>
      <c r="H49" s="5">
        <v>4377.8943060848005</v>
      </c>
    </row>
    <row r="50" spans="2:8" x14ac:dyDescent="0.25">
      <c r="B50" s="22">
        <v>43</v>
      </c>
      <c r="C50" s="90">
        <v>3105.1355928588187</v>
      </c>
      <c r="D50" s="90">
        <v>3485.8977944120747</v>
      </c>
      <c r="F50" s="92">
        <v>5</v>
      </c>
      <c r="G50" s="5">
        <v>3044.8755343303524</v>
      </c>
      <c r="H50" s="5">
        <v>3473.296259753221</v>
      </c>
    </row>
    <row r="51" spans="2:8" x14ac:dyDescent="0.25">
      <c r="B51" s="22">
        <v>44</v>
      </c>
      <c r="C51" s="90">
        <v>2747.2417720709</v>
      </c>
      <c r="D51" s="90">
        <v>3178.0496359431563</v>
      </c>
      <c r="F51" s="92">
        <v>5</v>
      </c>
      <c r="G51" s="5">
        <v>2731.6826187058368</v>
      </c>
      <c r="H51" s="5">
        <v>3130.0693461561723</v>
      </c>
    </row>
    <row r="52" spans="2:8" x14ac:dyDescent="0.25">
      <c r="B52" s="22">
        <v>45</v>
      </c>
      <c r="C52" s="90">
        <v>3381.6899089222106</v>
      </c>
      <c r="D52" s="90">
        <v>3697.2259031960189</v>
      </c>
      <c r="F52" s="92">
        <v>5</v>
      </c>
      <c r="G52" s="5">
        <v>4152.557826970412</v>
      </c>
      <c r="H52" s="5">
        <v>4472.9571538740702</v>
      </c>
    </row>
    <row r="53" spans="2:8" x14ac:dyDescent="0.25">
      <c r="B53" s="22">
        <v>46</v>
      </c>
      <c r="C53" s="90">
        <v>2820.4473263229743</v>
      </c>
      <c r="D53" s="90">
        <v>3218.6896568631455</v>
      </c>
      <c r="F53" s="92">
        <v>5</v>
      </c>
      <c r="G53" s="5">
        <v>3070.8915592704079</v>
      </c>
      <c r="H53" s="5">
        <v>3633.4021086614648</v>
      </c>
    </row>
    <row r="54" spans="2:8" x14ac:dyDescent="0.25">
      <c r="B54" s="22">
        <v>47</v>
      </c>
      <c r="C54" s="90">
        <v>2779.7775739607109</v>
      </c>
      <c r="D54" s="90">
        <v>2991.1055397112059</v>
      </c>
      <c r="F54" s="92">
        <v>5</v>
      </c>
      <c r="G54" s="5">
        <v>3204.9741493460792</v>
      </c>
      <c r="H54" s="5">
        <v>3685.4365095566441</v>
      </c>
    </row>
    <row r="55" spans="2:8" x14ac:dyDescent="0.25">
      <c r="B55" s="22">
        <v>48</v>
      </c>
      <c r="C55" s="90">
        <v>2881.4519548663693</v>
      </c>
      <c r="D55" s="90">
        <v>3195.3216448341518</v>
      </c>
      <c r="F55" s="92">
        <v>5</v>
      </c>
      <c r="G55" s="5">
        <v>3389.0875566141649</v>
      </c>
      <c r="H55" s="5">
        <v>3949.6111602552469</v>
      </c>
    </row>
    <row r="56" spans="2:8" x14ac:dyDescent="0.25">
      <c r="B56" s="22">
        <v>49</v>
      </c>
      <c r="C56" s="90">
        <v>2728.9403835078815</v>
      </c>
      <c r="D56" s="90">
        <v>3018.5375538321987</v>
      </c>
      <c r="F56" s="92">
        <v>5</v>
      </c>
      <c r="G56" s="5">
        <v>3113.9180620558845</v>
      </c>
      <c r="H56" s="5">
        <v>3512.3220604246053</v>
      </c>
    </row>
    <row r="57" spans="2:8" x14ac:dyDescent="0.25">
      <c r="B57" s="22">
        <v>50</v>
      </c>
      <c r="C57" s="90">
        <v>3253.5801889810805</v>
      </c>
      <c r="D57" s="90">
        <v>3649.4738786150315</v>
      </c>
      <c r="F57" s="92">
        <v>5</v>
      </c>
      <c r="G57" s="5">
        <v>4106.5294751533902</v>
      </c>
      <c r="H57" s="5">
        <v>4818.185390582471</v>
      </c>
    </row>
    <row r="58" spans="2:8" x14ac:dyDescent="0.25">
      <c r="B58" s="22">
        <v>51</v>
      </c>
      <c r="C58" s="90">
        <v>2041.621568585628</v>
      </c>
      <c r="D58" s="90">
        <v>2194.5611296794177</v>
      </c>
      <c r="F58" s="92">
        <v>5</v>
      </c>
      <c r="G58" s="5">
        <v>2352.4490243873342</v>
      </c>
      <c r="H58" s="5">
        <v>2866.8953570132462</v>
      </c>
    </row>
    <row r="59" spans="2:8" x14ac:dyDescent="0.25">
      <c r="B59" s="22">
        <v>52</v>
      </c>
      <c r="C59" s="90">
        <v>2639.4669283109015</v>
      </c>
      <c r="D59" s="90">
        <v>2891.5374884572325</v>
      </c>
      <c r="F59" s="92">
        <v>5</v>
      </c>
      <c r="G59" s="5">
        <v>3469.1368641220283</v>
      </c>
      <c r="H59" s="5">
        <v>3865.5555895784191</v>
      </c>
    </row>
    <row r="60" spans="2:8" x14ac:dyDescent="0.25">
      <c r="B60" s="22">
        <v>53</v>
      </c>
      <c r="C60" s="90">
        <v>2291.7405456135484</v>
      </c>
      <c r="D60" s="90">
        <v>2444.497258337351</v>
      </c>
      <c r="F60" s="92">
        <v>5</v>
      </c>
      <c r="G60" s="5">
        <v>3023.8625911095382</v>
      </c>
      <c r="H60" s="5">
        <v>3388.240027520716</v>
      </c>
    </row>
    <row r="61" spans="2:8" x14ac:dyDescent="0.25">
      <c r="B61" s="22">
        <v>54</v>
      </c>
      <c r="C61" s="90">
        <v>2110.7601476014761</v>
      </c>
      <c r="D61" s="90">
        <v>2456.6892646133479</v>
      </c>
      <c r="F61" s="92">
        <v>5</v>
      </c>
      <c r="G61" s="5">
        <v>2825.7405550275762</v>
      </c>
      <c r="H61" s="5">
        <v>3503.3161064235164</v>
      </c>
    </row>
    <row r="62" spans="2:8" x14ac:dyDescent="0.25">
      <c r="B62" s="22">
        <v>55</v>
      </c>
      <c r="C62" s="90">
        <v>2217.5182475524175</v>
      </c>
      <c r="D62" s="90">
        <v>2328.6731987153821</v>
      </c>
      <c r="F62" s="92">
        <v>5</v>
      </c>
      <c r="G62" s="5">
        <v>2956.8212960717028</v>
      </c>
      <c r="H62" s="5">
        <v>3444.2770746386018</v>
      </c>
    </row>
    <row r="63" spans="2:8" x14ac:dyDescent="0.25">
      <c r="B63" s="22">
        <v>56</v>
      </c>
      <c r="C63" s="90">
        <v>2099.5759657018534</v>
      </c>
      <c r="D63" s="90">
        <v>2119.3770909774375</v>
      </c>
      <c r="F63" s="92">
        <v>5</v>
      </c>
      <c r="G63" s="5">
        <v>2987.8404027309998</v>
      </c>
      <c r="H63" s="5">
        <v>3211.1229321659712</v>
      </c>
    </row>
    <row r="64" spans="2:8" x14ac:dyDescent="0.25">
      <c r="B64" s="22">
        <v>57</v>
      </c>
      <c r="C64" s="90">
        <v>1642.0412516263891</v>
      </c>
      <c r="D64" s="90">
        <v>1618.4888331385705</v>
      </c>
      <c r="F64" s="92">
        <v>5</v>
      </c>
      <c r="G64" s="5">
        <v>2311.4237542895544</v>
      </c>
      <c r="H64" s="5">
        <v>2652.7537840984696</v>
      </c>
    </row>
    <row r="65" spans="2:8" x14ac:dyDescent="0.25">
      <c r="B65" s="22">
        <v>58</v>
      </c>
      <c r="C65" s="90">
        <v>1645.0914830535589</v>
      </c>
      <c r="D65" s="90">
        <v>1790.1929215255248</v>
      </c>
      <c r="F65" s="92">
        <v>5</v>
      </c>
      <c r="G65" s="5">
        <v>2782.7140522421</v>
      </c>
      <c r="H65" s="5">
        <v>3055.0197294804329</v>
      </c>
    </row>
    <row r="66" spans="2:8" x14ac:dyDescent="0.25">
      <c r="B66" s="22">
        <v>59</v>
      </c>
      <c r="C66" s="90">
        <v>1403.1064564980909</v>
      </c>
      <c r="D66" s="90">
        <v>1544.3207949595901</v>
      </c>
      <c r="F66" s="92">
        <v>5</v>
      </c>
      <c r="G66" s="5">
        <v>2510.5464067153644</v>
      </c>
      <c r="H66" s="5">
        <v>2680.7723076574125</v>
      </c>
    </row>
    <row r="67" spans="2:8" x14ac:dyDescent="0.25">
      <c r="B67" s="22">
        <v>60</v>
      </c>
      <c r="C67" s="90">
        <v>1802.68677345733</v>
      </c>
      <c r="D67" s="90">
        <v>1889.7609727794984</v>
      </c>
      <c r="F67" s="92">
        <v>5</v>
      </c>
      <c r="G67" s="5">
        <v>3135.931621620547</v>
      </c>
      <c r="H67" s="5">
        <v>3504.3167679791932</v>
      </c>
    </row>
    <row r="68" spans="2:8" x14ac:dyDescent="0.25">
      <c r="B68" s="22">
        <v>61</v>
      </c>
      <c r="C68" s="90">
        <v>922.18663481432498</v>
      </c>
      <c r="D68" s="90">
        <v>984.50450678673872</v>
      </c>
      <c r="F68" s="92">
        <v>5</v>
      </c>
      <c r="G68" s="5">
        <v>1753.0798344222076</v>
      </c>
      <c r="H68" s="5">
        <v>2005.3257575757575</v>
      </c>
    </row>
    <row r="69" spans="2:8" x14ac:dyDescent="0.25">
      <c r="B69" s="22">
        <v>62</v>
      </c>
      <c r="C69" s="90">
        <v>1280.0804556022438</v>
      </c>
      <c r="D69" s="90">
        <v>1228.3446323066739</v>
      </c>
      <c r="F69" s="92">
        <v>5</v>
      </c>
      <c r="G69" s="5">
        <v>2323.431150415734</v>
      </c>
      <c r="H69" s="5">
        <v>2647.7504763200873</v>
      </c>
    </row>
    <row r="70" spans="2:8" x14ac:dyDescent="0.25">
      <c r="B70" s="22">
        <v>63</v>
      </c>
      <c r="C70" s="90">
        <v>1225.1762899131882</v>
      </c>
      <c r="D70" s="90">
        <v>1200.9126181856811</v>
      </c>
      <c r="F70" s="92">
        <v>5</v>
      </c>
      <c r="G70" s="5">
        <v>2072.2764481098125</v>
      </c>
      <c r="H70" s="5">
        <v>2445.6168420734289</v>
      </c>
    </row>
    <row r="71" spans="2:8" x14ac:dyDescent="0.25">
      <c r="B71" s="22">
        <v>64</v>
      </c>
      <c r="C71" s="90">
        <v>977.09080050338071</v>
      </c>
      <c r="D71" s="90">
        <v>1007.8725188157325</v>
      </c>
      <c r="F71" s="92">
        <v>5</v>
      </c>
      <c r="G71" s="5">
        <v>1853.1414688070367</v>
      </c>
      <c r="H71" s="5">
        <v>2187.4461607088851</v>
      </c>
    </row>
    <row r="72" spans="2:8" x14ac:dyDescent="0.25">
      <c r="B72" s="22">
        <v>65</v>
      </c>
      <c r="C72" s="90">
        <v>1006.5763709660218</v>
      </c>
      <c r="D72" s="90">
        <v>1068.8325501957163</v>
      </c>
      <c r="F72" s="92">
        <v>5</v>
      </c>
      <c r="G72" s="5">
        <v>2220.3676669993597</v>
      </c>
      <c r="H72" s="5">
        <v>2513.6618278594328</v>
      </c>
    </row>
    <row r="73" spans="2:8" x14ac:dyDescent="0.25">
      <c r="B73" s="22">
        <v>66</v>
      </c>
      <c r="C73" s="90">
        <v>681.21835206791377</v>
      </c>
      <c r="D73" s="90">
        <v>734.56837812880508</v>
      </c>
      <c r="F73" s="92">
        <v>5</v>
      </c>
      <c r="G73" s="5">
        <v>1489.9177359901066</v>
      </c>
      <c r="H73" s="5">
        <v>1638.0829666424727</v>
      </c>
    </row>
    <row r="74" spans="2:8" x14ac:dyDescent="0.25">
      <c r="B74" s="22">
        <v>67</v>
      </c>
      <c r="C74" s="90">
        <v>664.95045112300829</v>
      </c>
      <c r="D74" s="90">
        <v>746.76038440480181</v>
      </c>
      <c r="F74" s="92">
        <v>5</v>
      </c>
      <c r="G74" s="5">
        <v>1457.8980129869612</v>
      </c>
      <c r="H74" s="5">
        <v>1544.0207804088793</v>
      </c>
    </row>
    <row r="75" spans="2:8" x14ac:dyDescent="0.25">
      <c r="B75" s="22">
        <v>68</v>
      </c>
      <c r="C75" s="90">
        <v>656.81650065055567</v>
      </c>
      <c r="D75" s="90">
        <v>745.74438388180204</v>
      </c>
      <c r="F75" s="92">
        <v>5</v>
      </c>
      <c r="G75" s="5">
        <v>1610.9923135957499</v>
      </c>
      <c r="H75" s="5">
        <v>1752.1583839895966</v>
      </c>
    </row>
    <row r="76" spans="2:8" x14ac:dyDescent="0.25">
      <c r="B76" s="22">
        <v>69</v>
      </c>
      <c r="C76" s="90">
        <v>552.09188831772713</v>
      </c>
      <c r="D76" s="90">
        <v>562.8642897418506</v>
      </c>
      <c r="F76" s="92">
        <v>5</v>
      </c>
      <c r="G76" s="5">
        <v>1184.7297511163777</v>
      </c>
      <c r="H76" s="5">
        <v>1356.8970694973689</v>
      </c>
    </row>
    <row r="77" spans="2:8" x14ac:dyDescent="0.25">
      <c r="B77" s="22">
        <v>70</v>
      </c>
      <c r="C77" s="90">
        <v>660.88347588678198</v>
      </c>
      <c r="D77" s="90">
        <v>708.15236453081206</v>
      </c>
      <c r="F77" s="92">
        <v>5</v>
      </c>
      <c r="G77" s="5">
        <v>1321.8141902235936</v>
      </c>
      <c r="H77" s="5">
        <v>1526.0088724067018</v>
      </c>
    </row>
    <row r="78" spans="2:8" x14ac:dyDescent="0.25">
      <c r="B78" s="22">
        <v>71</v>
      </c>
      <c r="C78" s="90">
        <v>298.92267986263676</v>
      </c>
      <c r="D78" s="90">
        <v>341.37617572790941</v>
      </c>
      <c r="F78" s="92">
        <v>5</v>
      </c>
      <c r="G78" s="5">
        <v>838.5164961448686</v>
      </c>
      <c r="H78" s="5">
        <v>817.54049098772157</v>
      </c>
    </row>
    <row r="79" spans="2:8" x14ac:dyDescent="0.25">
      <c r="B79" s="22">
        <v>72</v>
      </c>
      <c r="C79" s="90">
        <v>458.55145788452103</v>
      </c>
      <c r="D79" s="90">
        <v>575.05629601784733</v>
      </c>
      <c r="F79" s="92">
        <v>5</v>
      </c>
      <c r="G79" s="5">
        <v>1058.6520917914929</v>
      </c>
      <c r="H79" s="5">
        <v>1154.7634352507107</v>
      </c>
    </row>
    <row r="80" spans="2:8" x14ac:dyDescent="0.25">
      <c r="B80" s="22">
        <v>73</v>
      </c>
      <c r="C80" s="90">
        <v>408.73101124074827</v>
      </c>
      <c r="D80" s="90">
        <v>508.00026149986519</v>
      </c>
      <c r="F80" s="92">
        <v>5</v>
      </c>
      <c r="G80" s="5">
        <v>894.551011400373</v>
      </c>
      <c r="H80" s="5">
        <v>950.62847789269949</v>
      </c>
    </row>
    <row r="81" spans="2:8" x14ac:dyDescent="0.25">
      <c r="B81" s="22">
        <v>74</v>
      </c>
      <c r="C81" s="90">
        <v>360.94405221508862</v>
      </c>
      <c r="D81" s="90">
        <v>464.31223901087674</v>
      </c>
      <c r="F81" s="92">
        <v>5</v>
      </c>
      <c r="G81" s="5">
        <v>819.50478561175112</v>
      </c>
      <c r="H81" s="5">
        <v>882.58349210669564</v>
      </c>
    </row>
    <row r="82" spans="2:8" x14ac:dyDescent="0.25">
      <c r="B82" s="22">
        <v>75</v>
      </c>
      <c r="C82" s="90">
        <v>356.87707697886225</v>
      </c>
      <c r="D82" s="90">
        <v>442.97622802788243</v>
      </c>
      <c r="F82" s="92">
        <v>5</v>
      </c>
      <c r="G82" s="5">
        <v>729.44931466540481</v>
      </c>
      <c r="H82" s="5">
        <v>808.53453698663282</v>
      </c>
    </row>
    <row r="83" spans="2:8" x14ac:dyDescent="0.25">
      <c r="B83" s="22">
        <v>76</v>
      </c>
      <c r="C83" s="90">
        <v>306.03988652603289</v>
      </c>
      <c r="D83" s="90">
        <v>391.16020135489617</v>
      </c>
      <c r="F83" s="92">
        <v>5</v>
      </c>
      <c r="G83" s="5">
        <v>590.36364287049219</v>
      </c>
      <c r="H83" s="5">
        <v>653.43199585677132</v>
      </c>
    </row>
    <row r="84" spans="2:8" x14ac:dyDescent="0.25">
      <c r="B84" s="22">
        <v>77</v>
      </c>
      <c r="C84" s="90">
        <v>196.23155514792143</v>
      </c>
      <c r="D84" s="90">
        <v>274.32014120992721</v>
      </c>
      <c r="F84" s="92">
        <v>5</v>
      </c>
      <c r="G84" s="5">
        <v>414.25516635319286</v>
      </c>
      <c r="H84" s="5">
        <v>494.32680850420371</v>
      </c>
    </row>
    <row r="85" spans="2:8" x14ac:dyDescent="0.25">
      <c r="B85" s="22">
        <v>78</v>
      </c>
      <c r="C85" s="90">
        <v>258.25292750037329</v>
      </c>
      <c r="D85" s="90">
        <v>332.23217102091184</v>
      </c>
      <c r="F85" s="92">
        <v>5</v>
      </c>
      <c r="G85" s="5">
        <v>531.32727858344299</v>
      </c>
      <c r="H85" s="5">
        <v>556.3678249561483</v>
      </c>
    </row>
    <row r="86" spans="2:8" x14ac:dyDescent="0.25">
      <c r="B86" s="22">
        <v>79</v>
      </c>
      <c r="C86" s="90">
        <v>161.66226563999743</v>
      </c>
      <c r="D86" s="90">
        <v>252.98413022693285</v>
      </c>
      <c r="F86" s="92">
        <v>5</v>
      </c>
      <c r="G86" s="5">
        <v>362.22311647308169</v>
      </c>
      <c r="H86" s="5">
        <v>456.30166938849572</v>
      </c>
    </row>
    <row r="87" spans="2:8" x14ac:dyDescent="0.25">
      <c r="B87" s="22">
        <v>80</v>
      </c>
      <c r="C87" s="90">
        <v>224.70038180150587</v>
      </c>
      <c r="D87" s="90">
        <v>346.45617834290806</v>
      </c>
      <c r="F87" s="92">
        <v>5</v>
      </c>
      <c r="G87" s="5">
        <v>408.25146829010311</v>
      </c>
      <c r="H87" s="5">
        <v>537.35525539829428</v>
      </c>
    </row>
    <row r="88" spans="2:8" x14ac:dyDescent="0.25">
      <c r="B88" s="22">
        <v>81</v>
      </c>
      <c r="C88" s="90">
        <v>114.89205042339441</v>
      </c>
      <c r="D88" s="90">
        <v>146.30407531196116</v>
      </c>
      <c r="F88" s="92">
        <v>5</v>
      </c>
      <c r="G88" s="5">
        <v>221.1362119904725</v>
      </c>
      <c r="H88" s="5">
        <v>268.17729692130888</v>
      </c>
    </row>
    <row r="89" spans="2:8" x14ac:dyDescent="0.25">
      <c r="B89" s="22">
        <v>82</v>
      </c>
      <c r="C89" s="90">
        <v>160.64552183094085</v>
      </c>
      <c r="D89" s="90">
        <v>201.16810355394659</v>
      </c>
      <c r="F89" s="92">
        <v>5</v>
      </c>
      <c r="G89" s="5">
        <v>258.15901671285934</v>
      </c>
      <c r="H89" s="5">
        <v>382.25271426843284</v>
      </c>
    </row>
    <row r="90" spans="2:8" x14ac:dyDescent="0.25">
      <c r="B90" s="22">
        <v>83</v>
      </c>
      <c r="C90" s="90">
        <v>113.87530661433782</v>
      </c>
      <c r="D90" s="90">
        <v>203.20010459994606</v>
      </c>
      <c r="F90" s="92">
        <v>5</v>
      </c>
      <c r="G90" s="5">
        <v>279.17195993367346</v>
      </c>
      <c r="H90" s="5">
        <v>321.21235937216477</v>
      </c>
    </row>
    <row r="91" spans="2:8" x14ac:dyDescent="0.25">
      <c r="B91" s="22">
        <v>84</v>
      </c>
      <c r="C91" s="90">
        <v>90.490199006036306</v>
      </c>
      <c r="D91" s="90">
        <v>199.13610250794716</v>
      </c>
      <c r="F91" s="92">
        <v>5</v>
      </c>
      <c r="G91" s="5">
        <v>214.13189758353448</v>
      </c>
      <c r="H91" s="5">
        <v>283.18722025645678</v>
      </c>
    </row>
    <row r="92" spans="2:8" x14ac:dyDescent="0.25">
      <c r="B92" s="22">
        <v>85</v>
      </c>
      <c r="C92" s="90">
        <v>108.79158756905488</v>
      </c>
      <c r="D92" s="90">
        <v>171.70408838695442</v>
      </c>
      <c r="F92" s="92">
        <v>5</v>
      </c>
      <c r="G92" s="5">
        <v>229.14114274125885</v>
      </c>
      <c r="H92" s="5">
        <v>304.20111292566384</v>
      </c>
    </row>
    <row r="93" spans="2:8" ht="15" customHeight="1" x14ac:dyDescent="0.25">
      <c r="B93" s="22">
        <v>86</v>
      </c>
      <c r="C93" s="90">
        <v>87.439967578866543</v>
      </c>
      <c r="D93" s="90">
        <v>128.01606589796603</v>
      </c>
      <c r="F93" s="92">
        <v>5</v>
      </c>
      <c r="G93" s="5">
        <v>152.09368426494038</v>
      </c>
      <c r="H93" s="5">
        <v>245.1620811407488</v>
      </c>
    </row>
    <row r="94" spans="2:8" ht="15" customHeight="1" x14ac:dyDescent="0.25">
      <c r="B94" s="22">
        <v>87</v>
      </c>
      <c r="C94" s="90">
        <v>67.105091397734782</v>
      </c>
      <c r="D94" s="90">
        <v>121.92006275996764</v>
      </c>
      <c r="F94" s="92">
        <v>5</v>
      </c>
      <c r="G94" s="5">
        <v>104.06409976022236</v>
      </c>
      <c r="H94" s="5">
        <v>198.13098802395209</v>
      </c>
    </row>
    <row r="95" spans="2:8" ht="15" customHeight="1" x14ac:dyDescent="0.25">
      <c r="B95" s="22">
        <v>88</v>
      </c>
      <c r="C95" s="90">
        <v>44.736727598489857</v>
      </c>
      <c r="D95" s="90">
        <v>97.536050207974114</v>
      </c>
      <c r="F95" s="92">
        <v>5</v>
      </c>
      <c r="G95" s="5">
        <v>81.04992385171164</v>
      </c>
      <c r="H95" s="5">
        <v>148.0979102401258</v>
      </c>
    </row>
    <row r="96" spans="2:8" x14ac:dyDescent="0.25">
      <c r="B96" s="22">
        <v>89</v>
      </c>
      <c r="C96" s="90">
        <v>42.703239980376679</v>
      </c>
      <c r="D96" s="90">
        <v>92.456047592975466</v>
      </c>
      <c r="F96" s="92">
        <v>5</v>
      </c>
      <c r="G96" s="5">
        <v>82.050540195559932</v>
      </c>
      <c r="H96" s="5">
        <v>138.09129468336056</v>
      </c>
    </row>
    <row r="97" spans="2:8" x14ac:dyDescent="0.25">
      <c r="B97" s="22">
        <v>90</v>
      </c>
      <c r="C97" s="90">
        <v>38.636264744150331</v>
      </c>
      <c r="D97" s="90">
        <v>74.168038178980311</v>
      </c>
      <c r="F97" s="92">
        <v>5</v>
      </c>
      <c r="G97" s="5">
        <v>70.043144069380432</v>
      </c>
      <c r="H97" s="5">
        <v>138.09129468336056</v>
      </c>
    </row>
    <row r="98" spans="2:8" x14ac:dyDescent="0.25">
      <c r="B98" s="22">
        <v>91</v>
      </c>
      <c r="C98" s="90">
        <v>18.301388563018577</v>
      </c>
      <c r="D98" s="90">
        <v>17.272008890995416</v>
      </c>
      <c r="F98" s="92">
        <v>5</v>
      </c>
      <c r="G98" s="5">
        <v>31.019106659297051</v>
      </c>
      <c r="H98" s="5">
        <v>62.041016451944593</v>
      </c>
    </row>
    <row r="99" spans="2:8" x14ac:dyDescent="0.25">
      <c r="B99" s="22">
        <v>92</v>
      </c>
      <c r="C99" s="90">
        <v>23.385107608301517</v>
      </c>
      <c r="D99" s="90">
        <v>32.512016735991374</v>
      </c>
      <c r="F99" s="92">
        <v>5</v>
      </c>
      <c r="G99" s="5">
        <v>44.027119129324845</v>
      </c>
      <c r="H99" s="5">
        <v>77.050939787092489</v>
      </c>
    </row>
    <row r="100" spans="2:8" x14ac:dyDescent="0.25">
      <c r="B100" s="22">
        <v>93</v>
      </c>
      <c r="C100" s="90">
        <v>19.318132372075166</v>
      </c>
      <c r="D100" s="90">
        <v>40.640020919989212</v>
      </c>
      <c r="F100" s="92">
        <v>5</v>
      </c>
      <c r="G100" s="5">
        <v>30.018490315448759</v>
      </c>
      <c r="H100" s="5">
        <v>60.039693340591548</v>
      </c>
    </row>
    <row r="101" spans="2:8" x14ac:dyDescent="0.25">
      <c r="B101" s="22">
        <v>94</v>
      </c>
      <c r="C101" s="90">
        <v>13.21766951773564</v>
      </c>
      <c r="D101" s="90">
        <v>23.368012028993796</v>
      </c>
      <c r="F101" s="92">
        <v>5</v>
      </c>
      <c r="G101" s="5">
        <v>21.01294322081413</v>
      </c>
      <c r="H101" s="5">
        <v>51.033739339502816</v>
      </c>
    </row>
    <row r="102" spans="2:8" x14ac:dyDescent="0.25">
      <c r="B102" s="22">
        <v>95</v>
      </c>
      <c r="C102" s="90">
        <v>7.1172066633961135</v>
      </c>
      <c r="D102" s="90">
        <v>18.288009413995145</v>
      </c>
      <c r="F102" s="92">
        <v>5</v>
      </c>
      <c r="G102" s="5">
        <v>15.009245157724379</v>
      </c>
      <c r="H102" s="5">
        <v>54.035724006532391</v>
      </c>
    </row>
    <row r="103" spans="2:8" x14ac:dyDescent="0.25">
      <c r="B103" s="22">
        <v>96</v>
      </c>
      <c r="C103" s="90">
        <v>6.1004628543395256</v>
      </c>
      <c r="D103" s="90">
        <v>13.208006798996495</v>
      </c>
      <c r="F103" s="92">
        <v>5</v>
      </c>
      <c r="G103" s="5">
        <v>14.008628813876086</v>
      </c>
      <c r="H103" s="5">
        <v>40.026462227061032</v>
      </c>
    </row>
    <row r="104" spans="2:8" x14ac:dyDescent="0.25">
      <c r="B104" s="22">
        <v>97</v>
      </c>
      <c r="C104" s="90">
        <v>8.1339504724527014</v>
      </c>
      <c r="D104" s="90">
        <v>12.192006275996764</v>
      </c>
      <c r="F104" s="92">
        <v>5</v>
      </c>
      <c r="G104" s="5">
        <v>18.011094189269254</v>
      </c>
      <c r="H104" s="5">
        <v>21.013892669207042</v>
      </c>
    </row>
    <row r="105" spans="2:8" x14ac:dyDescent="0.25">
      <c r="B105" s="22">
        <v>98</v>
      </c>
      <c r="C105" s="90">
        <v>6.1004628543395256</v>
      </c>
      <c r="D105" s="90">
        <v>17.272008890995416</v>
      </c>
      <c r="F105" s="92">
        <v>5</v>
      </c>
      <c r="G105" s="5">
        <v>8.0049307507863361</v>
      </c>
      <c r="H105" s="5">
        <v>34.022492893001875</v>
      </c>
    </row>
    <row r="106" spans="2:8" x14ac:dyDescent="0.25">
      <c r="B106" s="22">
        <v>99</v>
      </c>
      <c r="C106" s="90">
        <v>3.0502314271697628</v>
      </c>
      <c r="D106" s="90">
        <v>4.0640020919989217</v>
      </c>
      <c r="F106" s="92">
        <v>5</v>
      </c>
      <c r="G106" s="5">
        <v>4.002465375393168</v>
      </c>
      <c r="H106" s="5">
        <v>17.011246446500937</v>
      </c>
    </row>
    <row r="107" spans="2:8" x14ac:dyDescent="0.25">
      <c r="B107" s="22">
        <v>100</v>
      </c>
      <c r="C107" s="90">
        <v>11.184181899622464</v>
      </c>
      <c r="D107" s="90">
        <v>16.256008367995687</v>
      </c>
      <c r="F107" s="92">
        <v>5</v>
      </c>
      <c r="G107" s="5">
        <v>5.0030817192414601</v>
      </c>
      <c r="H107" s="5">
        <v>28.018523558942722</v>
      </c>
    </row>
    <row r="108" spans="2:8" x14ac:dyDescent="0.25">
      <c r="B108" s="5"/>
      <c r="C108" s="91">
        <v>49090.000000000036</v>
      </c>
      <c r="D108" s="91">
        <v>50500.000000000007</v>
      </c>
      <c r="F108" s="5"/>
      <c r="G108" s="91">
        <v>64219</v>
      </c>
      <c r="H108" s="91">
        <v>65710</v>
      </c>
    </row>
  </sheetData>
  <mergeCells count="8">
    <mergeCell ref="J3:L4"/>
    <mergeCell ref="N3:P4"/>
    <mergeCell ref="J5:L5"/>
    <mergeCell ref="N5:P5"/>
    <mergeCell ref="B5:D5"/>
    <mergeCell ref="B3:D4"/>
    <mergeCell ref="F3:H4"/>
    <mergeCell ref="F5:H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zoomScaleNormal="100" workbookViewId="0">
      <selection activeCell="F3" sqref="F3"/>
    </sheetView>
  </sheetViews>
  <sheetFormatPr baseColWidth="10" defaultRowHeight="15" x14ac:dyDescent="0.25"/>
  <cols>
    <col min="2" max="2" width="15.28515625" customWidth="1"/>
    <col min="3" max="3" width="13.5703125" customWidth="1"/>
    <col min="4" max="4" width="14" customWidth="1"/>
    <col min="6" max="6" width="12.85546875" customWidth="1"/>
    <col min="14" max="14" width="12" bestFit="1" customWidth="1"/>
    <col min="15" max="15" width="13.42578125" customWidth="1"/>
    <col min="16" max="16" width="13" customWidth="1"/>
    <col min="17" max="17" width="13.42578125" customWidth="1"/>
  </cols>
  <sheetData>
    <row r="1" spans="1:17" x14ac:dyDescent="0.25">
      <c r="A1" s="100" t="s">
        <v>68</v>
      </c>
      <c r="B1" s="100"/>
    </row>
    <row r="3" spans="1:17" ht="15.75" customHeight="1" x14ac:dyDescent="0.25">
      <c r="B3" s="107" t="s">
        <v>27</v>
      </c>
      <c r="C3" s="107"/>
      <c r="D3" s="107"/>
      <c r="E3" s="107"/>
      <c r="N3" s="107" t="s">
        <v>28</v>
      </c>
      <c r="O3" s="107"/>
      <c r="P3" s="107"/>
      <c r="Q3" s="107"/>
    </row>
    <row r="4" spans="1:17" ht="15.75" customHeight="1" x14ac:dyDescent="0.25">
      <c r="B4" s="107"/>
      <c r="C4" s="107"/>
      <c r="D4" s="107"/>
      <c r="E4" s="107"/>
      <c r="N4" s="107"/>
      <c r="O4" s="107"/>
      <c r="P4" s="107"/>
      <c r="Q4" s="107"/>
    </row>
    <row r="5" spans="1:17" ht="17.25" customHeight="1" x14ac:dyDescent="0.25">
      <c r="B5" s="108" t="s">
        <v>26</v>
      </c>
      <c r="C5" s="108"/>
      <c r="D5" s="108"/>
      <c r="E5" s="108"/>
      <c r="N5" s="108" t="s">
        <v>26</v>
      </c>
      <c r="O5" s="108"/>
      <c r="P5" s="108"/>
      <c r="Q5" s="108"/>
    </row>
    <row r="6" spans="1:17" s="1" customFormat="1" ht="15.75" x14ac:dyDescent="0.25">
      <c r="B6" s="24" t="s">
        <v>66</v>
      </c>
      <c r="C6" s="105" t="s">
        <v>6</v>
      </c>
      <c r="D6" s="106" t="s">
        <v>7</v>
      </c>
      <c r="E6" s="105" t="s">
        <v>2</v>
      </c>
      <c r="N6" s="24"/>
      <c r="O6" s="105" t="s">
        <v>6</v>
      </c>
      <c r="P6" s="106" t="s">
        <v>7</v>
      </c>
      <c r="Q6" s="105" t="s">
        <v>6</v>
      </c>
    </row>
    <row r="7" spans="1:17" s="1" customFormat="1" ht="15.75" x14ac:dyDescent="0.25">
      <c r="B7" s="102" t="s">
        <v>29</v>
      </c>
      <c r="C7" s="26">
        <f>DATOS!C7</f>
        <v>3911.4134334406926</v>
      </c>
      <c r="D7" s="26">
        <f>DATOS!D7</f>
        <v>3868.9299915829729</v>
      </c>
      <c r="E7" s="26">
        <f>C7*-1</f>
        <v>-3911.4134334406926</v>
      </c>
      <c r="N7" s="102" t="s">
        <v>29</v>
      </c>
      <c r="O7" s="26">
        <f>DATOS!G7</f>
        <v>3136.9322379643954</v>
      </c>
      <c r="P7" s="26">
        <f>DATOS!H7</f>
        <v>3074.032299038287</v>
      </c>
      <c r="Q7" s="26">
        <f>O7*-1</f>
        <v>-3136.9322379643954</v>
      </c>
    </row>
    <row r="8" spans="1:17" ht="15.75" x14ac:dyDescent="0.25">
      <c r="B8" s="102" t="s">
        <v>30</v>
      </c>
      <c r="C8" s="103">
        <f>DATOS!K7-Gráficas!C7</f>
        <v>18199.714182112919</v>
      </c>
      <c r="D8" s="26">
        <f>DATOS!L7-Gráficas!D7</f>
        <v>17473.176994549362</v>
      </c>
      <c r="E8" s="26">
        <f t="shared" ref="E8:E25" si="0">C8*-1</f>
        <v>-18199.714182112919</v>
      </c>
      <c r="N8" s="102" t="s">
        <v>30</v>
      </c>
      <c r="O8" s="26">
        <f>DATOS!O7-Gráficas!O7</f>
        <v>14993.235296222807</v>
      </c>
      <c r="P8" s="26">
        <f>DATOS!P7-Gráficas!P7</f>
        <v>14523.601819089095</v>
      </c>
      <c r="Q8" s="26">
        <f t="shared" ref="Q8:Q25" si="1">O8*-1</f>
        <v>-14993.235296222807</v>
      </c>
    </row>
    <row r="9" spans="1:17" ht="15.75" x14ac:dyDescent="0.25">
      <c r="B9" s="102" t="s">
        <v>9</v>
      </c>
      <c r="C9" s="26">
        <f>DATOS!K8</f>
        <v>23487.798733016229</v>
      </c>
      <c r="D9" s="26">
        <f>DATOS!L8</f>
        <v>22411.955536851056</v>
      </c>
      <c r="E9" s="26">
        <f t="shared" si="0"/>
        <v>-23487.798733016229</v>
      </c>
      <c r="N9" s="102" t="s">
        <v>9</v>
      </c>
      <c r="O9" s="26">
        <f>DATOS!O8</f>
        <v>19387.942278404505</v>
      </c>
      <c r="P9" s="26">
        <f>DATOS!P8</f>
        <v>18898.494140506864</v>
      </c>
      <c r="Q9" s="26">
        <f t="shared" si="1"/>
        <v>-19387.942278404505</v>
      </c>
    </row>
    <row r="10" spans="1:17" ht="15.75" x14ac:dyDescent="0.25">
      <c r="B10" s="102" t="s">
        <v>10</v>
      </c>
      <c r="C10" s="26">
        <f>DATOS!K9</f>
        <v>22933.736903568461</v>
      </c>
      <c r="D10" s="26">
        <f>DATOS!L9</f>
        <v>22323.753991448139</v>
      </c>
      <c r="E10" s="26">
        <f t="shared" si="0"/>
        <v>-22933.736903568461</v>
      </c>
      <c r="N10" s="102" t="s">
        <v>10</v>
      </c>
      <c r="O10" s="26">
        <f>DATOS!O9</f>
        <v>20778.298688181705</v>
      </c>
      <c r="P10" s="26">
        <f>DATOS!P9</f>
        <v>19851.249024205375</v>
      </c>
      <c r="Q10" s="26">
        <f t="shared" si="1"/>
        <v>-20778.298688181705</v>
      </c>
    </row>
    <row r="11" spans="1:17" ht="15.75" x14ac:dyDescent="0.25">
      <c r="B11" s="102" t="s">
        <v>11</v>
      </c>
      <c r="C11" s="26">
        <f>DATOS!K10</f>
        <v>23506.544946995709</v>
      </c>
      <c r="D11" s="26">
        <f>DATOS!L10</f>
        <v>23221.58095361646</v>
      </c>
      <c r="E11" s="26">
        <f t="shared" si="0"/>
        <v>-23506.544946995709</v>
      </c>
      <c r="N11" s="102" t="s">
        <v>11</v>
      </c>
      <c r="O11" s="26">
        <f>DATOS!O10</f>
        <v>21574.163912670039</v>
      </c>
      <c r="P11" s="26">
        <f>DATOS!P10</f>
        <v>20669.540011359859</v>
      </c>
      <c r="Q11" s="26">
        <f t="shared" si="1"/>
        <v>-21574.163912670039</v>
      </c>
    </row>
    <row r="12" spans="1:17" ht="15.75" x14ac:dyDescent="0.25">
      <c r="B12" s="102" t="s">
        <v>12</v>
      </c>
      <c r="C12" s="26">
        <f>DATOS!K11</f>
        <v>22931.449229998077</v>
      </c>
      <c r="D12" s="26">
        <f>DATOS!L11</f>
        <v>23029.175854573386</v>
      </c>
      <c r="E12" s="26">
        <f t="shared" si="0"/>
        <v>-22931.449229998077</v>
      </c>
      <c r="N12" s="102" t="s">
        <v>12</v>
      </c>
      <c r="O12" s="26">
        <f>DATOS!O11</f>
        <v>21618.69133997129</v>
      </c>
      <c r="P12" s="26">
        <f>DATOS!P11</f>
        <v>21212.086198578225</v>
      </c>
      <c r="Q12" s="26">
        <f t="shared" si="1"/>
        <v>-21618.69133997129</v>
      </c>
    </row>
    <row r="13" spans="1:17" ht="15.75" x14ac:dyDescent="0.25">
      <c r="B13" s="102" t="s">
        <v>13</v>
      </c>
      <c r="C13" s="26">
        <f>DATOS!K12</f>
        <v>20139.915555745152</v>
      </c>
      <c r="D13" s="26">
        <f>DATOS!L12</f>
        <v>21173.51439934707</v>
      </c>
      <c r="E13" s="26">
        <f t="shared" si="0"/>
        <v>-20139.915555745152</v>
      </c>
      <c r="N13" s="102" t="s">
        <v>13</v>
      </c>
      <c r="O13" s="26">
        <f>DATOS!O12</f>
        <v>20883.926250979195</v>
      </c>
      <c r="P13" s="26">
        <f>DATOS!P12</f>
        <v>21280.69405648929</v>
      </c>
      <c r="Q13" s="26">
        <f t="shared" si="1"/>
        <v>-20883.926250979195</v>
      </c>
    </row>
    <row r="14" spans="1:17" ht="15.75" x14ac:dyDescent="0.25">
      <c r="B14" s="102" t="s">
        <v>14</v>
      </c>
      <c r="C14" s="26">
        <f>DATOS!K13</f>
        <v>18225.323416803534</v>
      </c>
      <c r="D14" s="26">
        <f>DATOS!L13</f>
        <v>20296.515447900238</v>
      </c>
      <c r="E14" s="26">
        <f t="shared" si="0"/>
        <v>-18225.323416803534</v>
      </c>
      <c r="N14" s="102" t="s">
        <v>14</v>
      </c>
      <c r="O14" s="26">
        <f>DATOS!O13</f>
        <v>19524.714024904268</v>
      </c>
      <c r="P14" s="26">
        <f>DATOS!P13</f>
        <v>20657.031741913896</v>
      </c>
      <c r="Q14" s="26">
        <f t="shared" si="1"/>
        <v>-19524.714024904268</v>
      </c>
    </row>
    <row r="15" spans="1:17" ht="15.75" x14ac:dyDescent="0.25">
      <c r="B15" s="102" t="s">
        <v>15</v>
      </c>
      <c r="C15" s="26">
        <f>DATOS!K14</f>
        <v>17984.418680545186</v>
      </c>
      <c r="D15" s="26">
        <f>DATOS!L14</f>
        <v>20437.866520662577</v>
      </c>
      <c r="E15" s="26">
        <f t="shared" si="0"/>
        <v>-17984.418680545186</v>
      </c>
      <c r="N15" s="102" t="s">
        <v>15</v>
      </c>
      <c r="O15" s="26">
        <f>DATOS!O14</f>
        <v>17915.472789910251</v>
      </c>
      <c r="P15" s="26">
        <f>DATOS!P14</f>
        <v>19662.937027696502</v>
      </c>
      <c r="Q15" s="26">
        <f t="shared" si="1"/>
        <v>-17915.472789910251</v>
      </c>
    </row>
    <row r="16" spans="1:17" ht="15.75" x14ac:dyDescent="0.25">
      <c r="B16" s="102" t="s">
        <v>16</v>
      </c>
      <c r="C16" s="26">
        <f>DATOS!K15</f>
        <v>16905.971231576477</v>
      </c>
      <c r="D16" s="26">
        <f>DATOS!L15</f>
        <v>18998.066779506582</v>
      </c>
      <c r="E16" s="26">
        <f t="shared" si="0"/>
        <v>-16905.971231576477</v>
      </c>
      <c r="N16" s="102" t="s">
        <v>16</v>
      </c>
      <c r="O16" s="26">
        <f>DATOS!O15</f>
        <v>16818.171891837617</v>
      </c>
      <c r="P16" s="26">
        <f>DATOS!P15</f>
        <v>19052.470937386592</v>
      </c>
      <c r="Q16" s="26">
        <f t="shared" si="1"/>
        <v>-16818.171891837617</v>
      </c>
    </row>
    <row r="17" spans="2:17" ht="15.75" x14ac:dyDescent="0.25">
      <c r="B17" s="102" t="s">
        <v>17</v>
      </c>
      <c r="C17" s="26">
        <f>DATOS!K16</f>
        <v>14713.998672226606</v>
      </c>
      <c r="D17" s="26">
        <f>DATOS!L16</f>
        <v>16329.414405782412</v>
      </c>
      <c r="E17" s="26">
        <f t="shared" si="0"/>
        <v>-14713.998672226606</v>
      </c>
      <c r="N17" s="102" t="s">
        <v>17</v>
      </c>
      <c r="O17" s="26">
        <f>DATOS!O16</f>
        <v>16639.74949002517</v>
      </c>
      <c r="P17" s="26">
        <f>DATOS!P16</f>
        <v>19148.972236162146</v>
      </c>
      <c r="Q17" s="26">
        <f t="shared" si="1"/>
        <v>-16639.74949002517</v>
      </c>
    </row>
    <row r="18" spans="2:17" ht="15.75" x14ac:dyDescent="0.25">
      <c r="B18" s="102" t="s">
        <v>18</v>
      </c>
      <c r="C18" s="26">
        <f>DATOS!K17</f>
        <v>12167.627348932449</v>
      </c>
      <c r="D18" s="26">
        <f>DATOS!L17</f>
        <v>13324.656359043402</v>
      </c>
      <c r="E18" s="26">
        <f t="shared" si="0"/>
        <v>-12167.627348932449</v>
      </c>
      <c r="N18" s="102" t="s">
        <v>18</v>
      </c>
      <c r="O18" s="26">
        <f>DATOS!O17</f>
        <v>15761.270878647863</v>
      </c>
      <c r="P18" s="26">
        <f>DATOS!P17</f>
        <v>18130.111148441749</v>
      </c>
      <c r="Q18" s="26">
        <f t="shared" si="1"/>
        <v>-15761.270878647863</v>
      </c>
    </row>
    <row r="19" spans="2:17" ht="15.75" x14ac:dyDescent="0.25">
      <c r="B19" s="102" t="s">
        <v>19</v>
      </c>
      <c r="C19" s="26">
        <f>DATOS!K18</f>
        <v>9131.0584166968838</v>
      </c>
      <c r="D19" s="26">
        <f>DATOS!L18</f>
        <v>9613.9684489176361</v>
      </c>
      <c r="E19" s="26">
        <f t="shared" si="0"/>
        <v>-9131.0584166968838</v>
      </c>
      <c r="N19" s="102" t="s">
        <v>19</v>
      </c>
      <c r="O19" s="26">
        <f>DATOS!O18</f>
        <v>13641.277538640783</v>
      </c>
      <c r="P19" s="26">
        <f>DATOS!P18</f>
        <v>15456.968885146374</v>
      </c>
      <c r="Q19" s="26">
        <f t="shared" si="1"/>
        <v>-13641.277538640783</v>
      </c>
    </row>
    <row r="20" spans="2:17" ht="15.75" x14ac:dyDescent="0.25">
      <c r="B20" s="102" t="s">
        <v>20</v>
      </c>
      <c r="C20" s="26">
        <f>DATOS!K19</f>
        <v>6113.9347098095259</v>
      </c>
      <c r="D20" s="26">
        <f>DATOS!L19</f>
        <v>6244.9742146832168</v>
      </c>
      <c r="E20" s="26">
        <f t="shared" si="0"/>
        <v>-6113.9347098095259</v>
      </c>
      <c r="N20" s="102" t="s">
        <v>20</v>
      </c>
      <c r="O20" s="26">
        <f>DATOS!O19</f>
        <v>11045.053357483408</v>
      </c>
      <c r="P20" s="26">
        <f>DATOS!P19</f>
        <v>12470.369389535324</v>
      </c>
      <c r="Q20" s="26">
        <f t="shared" si="1"/>
        <v>-11045.053357483408</v>
      </c>
    </row>
    <row r="21" spans="2:17" ht="15.75" x14ac:dyDescent="0.25">
      <c r="B21" s="102" t="s">
        <v>21</v>
      </c>
      <c r="C21" s="26">
        <f>DATOS!K20</f>
        <v>3681.9470650342337</v>
      </c>
      <c r="D21" s="26">
        <f>DATOS!L20</f>
        <v>3945.3840309387033</v>
      </c>
      <c r="E21" s="26">
        <f t="shared" si="0"/>
        <v>-3681.9470650342337</v>
      </c>
      <c r="N21" s="102" t="s">
        <v>21</v>
      </c>
      <c r="O21" s="26">
        <f>DATOS!O20</f>
        <v>7984.1054231299913</v>
      </c>
      <c r="P21" s="26">
        <f>DATOS!P20</f>
        <v>8907.7015445907437</v>
      </c>
      <c r="Q21" s="26">
        <f t="shared" si="1"/>
        <v>-7984.1054231299913</v>
      </c>
    </row>
    <row r="22" spans="2:17" ht="15.75" x14ac:dyDescent="0.25">
      <c r="B22" s="102" t="s">
        <v>22</v>
      </c>
      <c r="C22" s="26">
        <f>DATOS!K21</f>
        <v>2145.7107160377964</v>
      </c>
      <c r="D22" s="26">
        <f>DATOS!L21</f>
        <v>2548.1928117160114</v>
      </c>
      <c r="E22" s="26">
        <f t="shared" si="0"/>
        <v>-2145.7107160377964</v>
      </c>
      <c r="N22" s="102" t="s">
        <v>22</v>
      </c>
      <c r="O22" s="26">
        <f>DATOS!O21</f>
        <v>4948.6106670232184</v>
      </c>
      <c r="P22" s="26">
        <f>DATOS!P21</f>
        <v>5364.233893245706</v>
      </c>
      <c r="Q22" s="26">
        <f t="shared" si="1"/>
        <v>-4948.6106670232184</v>
      </c>
    </row>
    <row r="23" spans="2:17" ht="15.75" x14ac:dyDescent="0.25">
      <c r="B23" s="102" t="s">
        <v>23</v>
      </c>
      <c r="C23" s="26">
        <f>DATOS!K22</f>
        <v>1279.0637117931874</v>
      </c>
      <c r="D23" s="26">
        <f>DATOS!L22</f>
        <v>1693.6728718405504</v>
      </c>
      <c r="E23" s="26">
        <f t="shared" si="0"/>
        <v>-1279.0637117931874</v>
      </c>
      <c r="N23" s="102" t="s">
        <v>23</v>
      </c>
      <c r="O23" s="26">
        <f>DATOS!O22</f>
        <v>2627.6185189456146</v>
      </c>
      <c r="P23" s="26">
        <f>DATOS!P22</f>
        <v>2968.9628356922517</v>
      </c>
      <c r="Q23" s="26">
        <f t="shared" si="1"/>
        <v>-2627.6185189456146</v>
      </c>
    </row>
    <row r="24" spans="2:17" ht="15.75" x14ac:dyDescent="0.25">
      <c r="B24" s="102" t="s">
        <v>24</v>
      </c>
      <c r="C24" s="26">
        <f>DATOS!K23</f>
        <v>704.60345967621515</v>
      </c>
      <c r="D24" s="26">
        <f>DATOS!L23</f>
        <v>1096.2645643167089</v>
      </c>
      <c r="E24" s="26">
        <f t="shared" si="0"/>
        <v>-704.60345967621515</v>
      </c>
      <c r="N24" s="102" t="s">
        <v>24</v>
      </c>
      <c r="O24" s="26">
        <f>DATOS!O23</f>
        <v>1380.850554510643</v>
      </c>
      <c r="P24" s="26">
        <f>DATOS!P23</f>
        <v>1792.1848462166577</v>
      </c>
      <c r="Q24" s="26">
        <f t="shared" si="1"/>
        <v>-1380.850554510643</v>
      </c>
    </row>
    <row r="25" spans="2:17" ht="15.75" x14ac:dyDescent="0.25">
      <c r="B25" s="102" t="s">
        <v>25</v>
      </c>
      <c r="C25" s="26">
        <f>DATOS!K24</f>
        <v>505.32167310112402</v>
      </c>
      <c r="D25" s="26">
        <f>DATOS!L24</f>
        <v>880.87245344076598</v>
      </c>
      <c r="E25" s="26">
        <f t="shared" si="0"/>
        <v>-505.32167310112402</v>
      </c>
      <c r="N25" s="102" t="s">
        <v>25</v>
      </c>
      <c r="O25" s="26">
        <f>DATOS!O24</f>
        <v>908.55964021424904</v>
      </c>
      <c r="P25" s="26">
        <f>DATOS!P24</f>
        <v>1616.0684124175893</v>
      </c>
      <c r="Q25" s="26">
        <f t="shared" si="1"/>
        <v>-908.55964021424904</v>
      </c>
    </row>
    <row r="26" spans="2:17" ht="15.75" x14ac:dyDescent="0.25">
      <c r="B26" s="26"/>
      <c r="C26" s="104">
        <f>SUM(C7:C25)</f>
        <v>238669.55208711044</v>
      </c>
      <c r="D26" s="104">
        <f>SUM(D7:D25)</f>
        <v>248911.93663071733</v>
      </c>
      <c r="E26" s="26"/>
      <c r="N26" s="26"/>
      <c r="O26" s="104">
        <f>SUM(O7:O25)</f>
        <v>251568.64477966697</v>
      </c>
      <c r="P26" s="104">
        <f>SUM(P7:P25)</f>
        <v>264737.71044771251</v>
      </c>
      <c r="Q26" s="26"/>
    </row>
    <row r="34" spans="15:15" x14ac:dyDescent="0.25">
      <c r="O34" s="4"/>
    </row>
  </sheetData>
  <mergeCells count="5">
    <mergeCell ref="B5:E5"/>
    <mergeCell ref="N3:Q4"/>
    <mergeCell ref="N5:Q5"/>
    <mergeCell ref="B3:E4"/>
    <mergeCell ref="A1:B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zoomScale="70" zoomScaleNormal="70" workbookViewId="0">
      <selection activeCell="F28" sqref="F28"/>
    </sheetView>
  </sheetViews>
  <sheetFormatPr baseColWidth="10" defaultRowHeight="15" x14ac:dyDescent="0.25"/>
  <cols>
    <col min="2" max="2" width="13" bestFit="1" customWidth="1"/>
    <col min="5" max="5" width="15.42578125" bestFit="1" customWidth="1"/>
    <col min="8" max="8" width="12.85546875" customWidth="1"/>
    <col min="10" max="10" width="13.7109375" customWidth="1"/>
    <col min="11" max="11" width="13.28515625" customWidth="1"/>
    <col min="14" max="14" width="12.7109375" customWidth="1"/>
    <col min="18" max="18" width="13.28515625" customWidth="1"/>
    <col min="20" max="20" width="13.7109375" customWidth="1"/>
    <col min="22" max="22" width="12.7109375" customWidth="1"/>
  </cols>
  <sheetData>
    <row r="1" spans="1:28" ht="15.75" customHeight="1" x14ac:dyDescent="0.25">
      <c r="A1" s="101" t="s">
        <v>69</v>
      </c>
      <c r="B1" s="101"/>
    </row>
    <row r="2" spans="1:28" ht="12.75" customHeight="1" x14ac:dyDescent="0.25"/>
    <row r="3" spans="1:28" ht="22.5" customHeight="1" x14ac:dyDescent="0.25">
      <c r="B3" s="72" t="s">
        <v>31</v>
      </c>
      <c r="C3" s="72"/>
      <c r="E3" s="72" t="s">
        <v>36</v>
      </c>
      <c r="F3" s="72"/>
      <c r="H3" s="72" t="s">
        <v>61</v>
      </c>
      <c r="I3" s="72"/>
      <c r="K3" s="67" t="s">
        <v>37</v>
      </c>
      <c r="L3" s="67"/>
      <c r="N3" s="68" t="s">
        <v>54</v>
      </c>
      <c r="O3" s="68"/>
      <c r="P3" s="68"/>
      <c r="R3" s="69" t="s">
        <v>55</v>
      </c>
      <c r="S3" s="69"/>
      <c r="T3" s="69"/>
      <c r="V3" s="75" t="s">
        <v>57</v>
      </c>
      <c r="W3" s="75"/>
      <c r="X3" s="75"/>
      <c r="Y3" s="3"/>
      <c r="Z3" s="64" t="s">
        <v>56</v>
      </c>
      <c r="AA3" s="64"/>
      <c r="AB3" s="64"/>
    </row>
    <row r="4" spans="1:28" ht="31.5" x14ac:dyDescent="0.25">
      <c r="B4" s="9" t="s">
        <v>32</v>
      </c>
      <c r="C4" s="9" t="s">
        <v>33</v>
      </c>
      <c r="E4" s="13" t="s">
        <v>6</v>
      </c>
      <c r="F4" s="14" t="s">
        <v>7</v>
      </c>
      <c r="H4" s="13" t="s">
        <v>6</v>
      </c>
      <c r="I4" s="14" t="s">
        <v>7</v>
      </c>
      <c r="K4" s="13" t="s">
        <v>6</v>
      </c>
      <c r="L4" s="14" t="s">
        <v>7</v>
      </c>
      <c r="N4" s="13" t="s">
        <v>6</v>
      </c>
      <c r="O4" s="14" t="s">
        <v>7</v>
      </c>
      <c r="P4" s="19" t="s">
        <v>62</v>
      </c>
      <c r="R4" s="13" t="s">
        <v>6</v>
      </c>
      <c r="S4" s="14" t="s">
        <v>7</v>
      </c>
      <c r="T4" s="20" t="s">
        <v>62</v>
      </c>
      <c r="V4" s="16" t="s">
        <v>6</v>
      </c>
      <c r="W4" s="16" t="s">
        <v>7</v>
      </c>
      <c r="X4" s="17" t="s">
        <v>62</v>
      </c>
      <c r="Y4" s="3"/>
      <c r="Z4" s="10" t="s">
        <v>6</v>
      </c>
      <c r="AA4" s="11" t="s">
        <v>7</v>
      </c>
      <c r="AB4" s="15" t="s">
        <v>62</v>
      </c>
    </row>
    <row r="5" spans="1:28" ht="18" x14ac:dyDescent="0.25">
      <c r="B5" s="28">
        <v>0</v>
      </c>
      <c r="C5" s="28">
        <v>0</v>
      </c>
      <c r="E5" s="28">
        <f>Gráficas!C7</f>
        <v>3911.4134334406926</v>
      </c>
      <c r="F5" s="28">
        <f>Gráficas!D7</f>
        <v>3868.9299915829729</v>
      </c>
      <c r="H5" s="28">
        <f>Gráficas!O7</f>
        <v>3136.9322379643954</v>
      </c>
      <c r="I5" s="28">
        <f>Gráficas!P7</f>
        <v>3074.032299038287</v>
      </c>
      <c r="K5" s="30">
        <f>(H5/E5)^(1/$I$30)-1</f>
        <v>-2.2347470632332556E-2</v>
      </c>
      <c r="L5" s="28">
        <f>(I5/F5)^(1/$I$30)-1</f>
        <v>-2.3281751374931714E-2</v>
      </c>
      <c r="N5" s="33">
        <f>E5*POWER(1+K5,$I$31)</f>
        <v>3907.1772915946071</v>
      </c>
      <c r="O5" s="33">
        <f>F5*POWER(1+L5,$I$31)</f>
        <v>3864.5627041459138</v>
      </c>
      <c r="P5" s="33">
        <f>SUM(N5,O5)</f>
        <v>7771.7399957405214</v>
      </c>
      <c r="R5" s="26">
        <f>E5*POWER(1+K5,$I$32)</f>
        <v>3489.4651678427285</v>
      </c>
      <c r="S5" s="26">
        <f>F5*POWER(1+L5,$I$32)</f>
        <v>3434.9374968289608</v>
      </c>
      <c r="T5" s="26">
        <f>SUM(R5,S5)</f>
        <v>6924.4026646716893</v>
      </c>
      <c r="V5" s="26">
        <f>H5*POWER(1+K5,$I$33)</f>
        <v>3116.2172346680632</v>
      </c>
      <c r="W5" s="26">
        <f>I5*POWER(1+L5,$I$33)</f>
        <v>3052.8768821105159</v>
      </c>
      <c r="X5" s="26">
        <f>SUM(V5,W5)</f>
        <v>6169.0941167785786</v>
      </c>
      <c r="Y5" s="3"/>
      <c r="Z5" s="36">
        <f>H5*POWER(1+K5,$I$34)</f>
        <v>2783.065800264083</v>
      </c>
      <c r="AA5" s="36">
        <f>I5*POWER(1+L5,$I$34)</f>
        <v>2713.4871597021347</v>
      </c>
      <c r="AB5" s="36">
        <f>SUM(Z5,AA5)</f>
        <v>5496.5529599662177</v>
      </c>
    </row>
    <row r="6" spans="1:28" ht="18" x14ac:dyDescent="0.25">
      <c r="B6" s="28">
        <v>1</v>
      </c>
      <c r="C6" s="28">
        <v>4</v>
      </c>
      <c r="E6" s="28">
        <f>Gráficas!C8</f>
        <v>18199.714182112919</v>
      </c>
      <c r="F6" s="28">
        <f>Gráficas!D8</f>
        <v>17473.176994549362</v>
      </c>
      <c r="H6" s="28">
        <f>Gráficas!O8</f>
        <v>14993.235296222807</v>
      </c>
      <c r="I6" s="28">
        <f>Gráficas!P8</f>
        <v>14523.601819089095</v>
      </c>
      <c r="K6" s="28">
        <f t="shared" ref="K6:K23" si="0">(H6/E6)^(1/$I$30)-1</f>
        <v>-1.9655385262725034E-2</v>
      </c>
      <c r="L6" s="28">
        <f t="shared" ref="L6:L22" si="1">(I6/F6)^(1/$I$30)-1</f>
        <v>-1.8759799804312638E-2</v>
      </c>
      <c r="N6" s="33">
        <f t="shared" ref="N6:N23" si="2">E6*POWER(1+K6,$I$31)</f>
        <v>18182.400551759696</v>
      </c>
      <c r="O6" s="33">
        <f t="shared" ref="O6:O23" si="3">F6*POWER(1+L6,$I$31)</f>
        <v>17457.318792316153</v>
      </c>
      <c r="P6" s="33">
        <f t="shared" ref="P6:P22" si="4">SUM(N6,O6)</f>
        <v>35639.719344075849</v>
      </c>
      <c r="R6" s="26">
        <f>E6*POWER(1+K6,$I$32)</f>
        <v>16463.472348085623</v>
      </c>
      <c r="S6" s="26">
        <f t="shared" ref="S6:S23" si="5">F6*POWER(1+L6,$I$32)</f>
        <v>15879.311617288617</v>
      </c>
      <c r="T6" s="26">
        <f t="shared" ref="T6:T22" si="6">SUM(R6,S6)</f>
        <v>32342.783965374241</v>
      </c>
      <c r="V6" s="26">
        <f t="shared" ref="V6:V23" si="7">H6*POWER(1+K6,$I$33)</f>
        <v>14906.23749653565</v>
      </c>
      <c r="W6" s="26">
        <f t="shared" ref="W6:W23" si="8">I6*POWER(1+L6,$I$33)</f>
        <v>14443.194734707715</v>
      </c>
      <c r="X6" s="26">
        <f t="shared" ref="X6:X22" si="9">SUM(V6,W6)</f>
        <v>29349.432231243365</v>
      </c>
      <c r="Y6" s="3"/>
      <c r="Z6" s="36">
        <f t="shared" ref="Z6:Z23" si="10">H6*POWER(1+K6,$I$34)</f>
        <v>13497.031271509473</v>
      </c>
      <c r="AA6" s="36">
        <f t="shared" ref="AA6:AA23" si="11">I6*POWER(1+L6,$I$34)</f>
        <v>13137.641161857779</v>
      </c>
      <c r="AB6" s="36">
        <f t="shared" ref="AB6:AB22" si="12">SUM(Z6,AA6)</f>
        <v>26634.672433367254</v>
      </c>
    </row>
    <row r="7" spans="1:28" ht="18" x14ac:dyDescent="0.25">
      <c r="B7" s="28">
        <v>5</v>
      </c>
      <c r="C7" s="28">
        <v>9</v>
      </c>
      <c r="E7" s="28">
        <f>Gráficas!C9</f>
        <v>23487.798733016229</v>
      </c>
      <c r="F7" s="28">
        <f>Gráficas!D9</f>
        <v>22411.955536851056</v>
      </c>
      <c r="H7" s="28">
        <f>Gráficas!O9</f>
        <v>19387.942278404505</v>
      </c>
      <c r="I7" s="28">
        <f>Gráficas!P9</f>
        <v>18898.494140506864</v>
      </c>
      <c r="K7" s="28">
        <f t="shared" si="0"/>
        <v>-1.9456843608342211E-2</v>
      </c>
      <c r="L7" s="28">
        <f t="shared" si="1"/>
        <v>-1.7313498510880376E-2</v>
      </c>
      <c r="N7" s="33">
        <f t="shared" si="2"/>
        <v>23465.682304423815</v>
      </c>
      <c r="O7" s="33">
        <f t="shared" si="3"/>
        <v>22393.196309981347</v>
      </c>
      <c r="P7" s="33">
        <f t="shared" si="4"/>
        <v>45858.878614405163</v>
      </c>
      <c r="R7" s="26">
        <f t="shared" ref="R7:R23" si="13">E7*POWER(1+K7,$I$32)</f>
        <v>21268.818848699768</v>
      </c>
      <c r="S7" s="26">
        <f t="shared" si="5"/>
        <v>20519.66465089202</v>
      </c>
      <c r="T7" s="26">
        <f t="shared" si="6"/>
        <v>41788.483499591792</v>
      </c>
      <c r="V7" s="26">
        <f t="shared" si="7"/>
        <v>19276.588615423214</v>
      </c>
      <c r="W7" s="26">
        <f t="shared" si="8"/>
        <v>18801.982736958074</v>
      </c>
      <c r="X7" s="26">
        <f t="shared" si="9"/>
        <v>38078.571352381288</v>
      </c>
      <c r="Y7" s="3"/>
      <c r="Z7" s="36">
        <f t="shared" si="10"/>
        <v>17471.909231680518</v>
      </c>
      <c r="AA7" s="36">
        <f t="shared" si="11"/>
        <v>17228.910745638968</v>
      </c>
      <c r="AB7" s="36">
        <f t="shared" si="12"/>
        <v>34700.819977319486</v>
      </c>
    </row>
    <row r="8" spans="1:28" ht="18" x14ac:dyDescent="0.25">
      <c r="B8" s="28">
        <v>10</v>
      </c>
      <c r="C8" s="28">
        <v>14</v>
      </c>
      <c r="E8" s="28">
        <f>Gráficas!C10</f>
        <v>22933.736903568461</v>
      </c>
      <c r="F8" s="28">
        <f>Gráficas!D10</f>
        <v>22323.753991448139</v>
      </c>
      <c r="H8" s="28">
        <f>Gráficas!O10</f>
        <v>20778.298688181705</v>
      </c>
      <c r="I8" s="28">
        <f>Gráficas!P10</f>
        <v>19851.249024205375</v>
      </c>
      <c r="K8" s="28">
        <f t="shared" si="0"/>
        <v>-1.0058647520967745E-2</v>
      </c>
      <c r="L8" s="28">
        <f t="shared" si="1"/>
        <v>-1.1951384039825541E-2</v>
      </c>
      <c r="N8" s="33">
        <f t="shared" si="2"/>
        <v>22922.623482507068</v>
      </c>
      <c r="O8" s="33">
        <f t="shared" si="3"/>
        <v>22310.888876533452</v>
      </c>
      <c r="P8" s="33">
        <f t="shared" si="4"/>
        <v>45233.51235904052</v>
      </c>
      <c r="R8" s="26">
        <f t="shared" si="13"/>
        <v>21792.12710878886</v>
      </c>
      <c r="S8" s="26">
        <f t="shared" si="5"/>
        <v>21008.456117302445</v>
      </c>
      <c r="T8" s="26">
        <f t="shared" si="6"/>
        <v>42800.583226091301</v>
      </c>
      <c r="V8" s="26">
        <f t="shared" si="7"/>
        <v>20716.810666497746</v>
      </c>
      <c r="W8" s="26">
        <f t="shared" si="8"/>
        <v>19781.403266335408</v>
      </c>
      <c r="X8" s="26">
        <f t="shared" si="9"/>
        <v>40498.213932833154</v>
      </c>
      <c r="Y8" s="3"/>
      <c r="Z8" s="36">
        <f t="shared" si="10"/>
        <v>19695.100418045815</v>
      </c>
      <c r="AA8" s="36">
        <f t="shared" si="11"/>
        <v>18626.633154745054</v>
      </c>
      <c r="AB8" s="36">
        <f t="shared" si="12"/>
        <v>38321.733572790865</v>
      </c>
    </row>
    <row r="9" spans="1:28" ht="18" x14ac:dyDescent="0.25">
      <c r="B9" s="28">
        <v>15</v>
      </c>
      <c r="C9" s="28">
        <v>19</v>
      </c>
      <c r="E9" s="28">
        <f>Gráficas!C11</f>
        <v>23506.544946995709</v>
      </c>
      <c r="F9" s="28">
        <f>Gráficas!D11</f>
        <v>23221.58095361646</v>
      </c>
      <c r="H9" s="28">
        <f>Gráficas!O11</f>
        <v>21574.163912670039</v>
      </c>
      <c r="I9" s="28">
        <f>Gráficas!P11</f>
        <v>20669.540011359859</v>
      </c>
      <c r="K9" s="28">
        <f t="shared" si="0"/>
        <v>-8.7479797662566305E-3</v>
      </c>
      <c r="L9" s="28">
        <f t="shared" si="1"/>
        <v>-1.1853875536595671E-2</v>
      </c>
      <c r="N9" s="33">
        <f t="shared" si="2"/>
        <v>23496.644453558085</v>
      </c>
      <c r="O9" s="33">
        <f t="shared" si="3"/>
        <v>23208.308230709263</v>
      </c>
      <c r="P9" s="33">
        <f t="shared" si="4"/>
        <v>46704.952684267351</v>
      </c>
      <c r="R9" s="26">
        <f t="shared" si="13"/>
        <v>22486.186995708977</v>
      </c>
      <c r="S9" s="26">
        <f t="shared" si="5"/>
        <v>21864.278644487797</v>
      </c>
      <c r="T9" s="26">
        <f t="shared" si="6"/>
        <v>44350.465640196773</v>
      </c>
      <c r="V9" s="26">
        <f t="shared" si="7"/>
        <v>21518.665569446599</v>
      </c>
      <c r="W9" s="26">
        <f t="shared" si="8"/>
        <v>20597.41098638796</v>
      </c>
      <c r="X9" s="26">
        <f t="shared" si="9"/>
        <v>42116.076555834559</v>
      </c>
      <c r="Y9" s="3"/>
      <c r="Z9" s="36">
        <f t="shared" si="10"/>
        <v>20593.269768757469</v>
      </c>
      <c r="AA9" s="36">
        <f t="shared" si="11"/>
        <v>19404.582560891718</v>
      </c>
      <c r="AB9" s="36">
        <f t="shared" si="12"/>
        <v>39997.852329649191</v>
      </c>
    </row>
    <row r="10" spans="1:28" ht="18" x14ac:dyDescent="0.25">
      <c r="B10" s="28">
        <v>20</v>
      </c>
      <c r="C10" s="28">
        <v>24</v>
      </c>
      <c r="E10" s="28">
        <f>Gráficas!C12</f>
        <v>22931.449229998077</v>
      </c>
      <c r="F10" s="28">
        <f>Gráficas!D12</f>
        <v>23029.175854573386</v>
      </c>
      <c r="H10" s="28">
        <f>Gráficas!O12</f>
        <v>21618.69133997129</v>
      </c>
      <c r="I10" s="28">
        <f>Gráficas!P12</f>
        <v>21212.086198578225</v>
      </c>
      <c r="K10" s="28">
        <f t="shared" si="0"/>
        <v>-6.0200054445417317E-3</v>
      </c>
      <c r="L10" s="28">
        <f t="shared" si="1"/>
        <v>-8.3832523986990815E-3</v>
      </c>
      <c r="N10" s="33">
        <f t="shared" si="2"/>
        <v>22924.811474886879</v>
      </c>
      <c r="O10" s="33">
        <f t="shared" si="3"/>
        <v>23019.882440906371</v>
      </c>
      <c r="P10" s="33">
        <f t="shared" si="4"/>
        <v>45944.69391579325</v>
      </c>
      <c r="R10" s="26">
        <f t="shared" si="13"/>
        <v>22242.664255962987</v>
      </c>
      <c r="S10" s="26">
        <f t="shared" si="5"/>
        <v>22070.509030663423</v>
      </c>
      <c r="T10" s="26">
        <f t="shared" si="6"/>
        <v>44313.173286626406</v>
      </c>
      <c r="V10" s="26">
        <f t="shared" si="7"/>
        <v>21580.457897704706</v>
      </c>
      <c r="W10" s="26">
        <f t="shared" si="8"/>
        <v>21159.801111145924</v>
      </c>
      <c r="X10" s="26">
        <f t="shared" si="9"/>
        <v>42740.259008850626</v>
      </c>
      <c r="Y10" s="3"/>
      <c r="Z10" s="36">
        <f t="shared" si="10"/>
        <v>20938.313060258621</v>
      </c>
      <c r="AA10" s="36">
        <f t="shared" si="11"/>
        <v>20287.140158488157</v>
      </c>
      <c r="AB10" s="36">
        <f t="shared" si="12"/>
        <v>41225.453218746778</v>
      </c>
    </row>
    <row r="11" spans="1:28" ht="18" x14ac:dyDescent="0.25">
      <c r="B11" s="28">
        <v>25</v>
      </c>
      <c r="C11" s="28">
        <v>29</v>
      </c>
      <c r="E11" s="28">
        <f>Gráficas!C13</f>
        <v>20139.915555745152</v>
      </c>
      <c r="F11" s="28">
        <f>Gráficas!D13</f>
        <v>21173.51439934707</v>
      </c>
      <c r="H11" s="28">
        <f>Gráficas!O13</f>
        <v>20883.926250979195</v>
      </c>
      <c r="I11" s="28">
        <f>Gráficas!P13</f>
        <v>21280.69405648929</v>
      </c>
      <c r="K11" s="28">
        <f t="shared" si="0"/>
        <v>3.7225767914947916E-3</v>
      </c>
      <c r="L11" s="28">
        <f t="shared" si="1"/>
        <v>5.1731008290012426E-4</v>
      </c>
      <c r="N11" s="33">
        <f t="shared" si="2"/>
        <v>20143.50376765725</v>
      </c>
      <c r="O11" s="33">
        <f t="shared" si="3"/>
        <v>21174.039426968884</v>
      </c>
      <c r="P11" s="33">
        <f t="shared" si="4"/>
        <v>41317.543194626138</v>
      </c>
      <c r="R11" s="26">
        <f t="shared" si="13"/>
        <v>20521.443183353476</v>
      </c>
      <c r="S11" s="26">
        <f t="shared" si="5"/>
        <v>21228.893920187264</v>
      </c>
      <c r="T11" s="26">
        <f t="shared" si="6"/>
        <v>41750.33710354074</v>
      </c>
      <c r="V11" s="26">
        <f t="shared" si="7"/>
        <v>20906.686456654719</v>
      </c>
      <c r="W11" s="26">
        <f t="shared" si="8"/>
        <v>21283.920679737639</v>
      </c>
      <c r="X11" s="26">
        <f t="shared" si="9"/>
        <v>42190.607136392355</v>
      </c>
      <c r="Y11" s="3"/>
      <c r="Z11" s="36">
        <f t="shared" si="10"/>
        <v>21298.944971097419</v>
      </c>
      <c r="AA11" s="36">
        <f t="shared" si="11"/>
        <v>21339.059836657325</v>
      </c>
      <c r="AB11" s="36">
        <f t="shared" si="12"/>
        <v>42638.00480775474</v>
      </c>
    </row>
    <row r="12" spans="1:28" ht="18" x14ac:dyDescent="0.25">
      <c r="B12" s="28">
        <v>30</v>
      </c>
      <c r="C12" s="28">
        <v>34</v>
      </c>
      <c r="E12" s="28">
        <f>Gráficas!C14</f>
        <v>18225.323416803534</v>
      </c>
      <c r="F12" s="28">
        <f>Gráficas!D14</f>
        <v>20296.515447900238</v>
      </c>
      <c r="H12" s="28">
        <f>Gráficas!O14</f>
        <v>19524.714024904268</v>
      </c>
      <c r="I12" s="28">
        <f>Gráficas!P14</f>
        <v>20657.031741913896</v>
      </c>
      <c r="K12" s="28">
        <f t="shared" si="0"/>
        <v>7.0790130387468064E-3</v>
      </c>
      <c r="L12" s="28">
        <f t="shared" si="1"/>
        <v>1.8050213808178395E-3</v>
      </c>
      <c r="N12" s="33">
        <f t="shared" si="2"/>
        <v>18231.488428576609</v>
      </c>
      <c r="O12" s="33">
        <f t="shared" si="3"/>
        <v>20298.270443908823</v>
      </c>
      <c r="P12" s="33">
        <f t="shared" si="4"/>
        <v>38529.758872485429</v>
      </c>
      <c r="R12" s="26">
        <f t="shared" si="13"/>
        <v>18886.359294595783</v>
      </c>
      <c r="S12" s="26">
        <f t="shared" si="5"/>
        <v>20482.228236305415</v>
      </c>
      <c r="T12" s="26">
        <f t="shared" si="6"/>
        <v>39368.587530901197</v>
      </c>
      <c r="V12" s="26">
        <f t="shared" si="7"/>
        <v>19565.13108791555</v>
      </c>
      <c r="W12" s="26">
        <f t="shared" si="8"/>
        <v>20667.9553050508</v>
      </c>
      <c r="X12" s="26">
        <f t="shared" si="9"/>
        <v>40233.086392966346</v>
      </c>
      <c r="Y12" s="3"/>
      <c r="Z12" s="36">
        <f t="shared" si="10"/>
        <v>20267.906091147815</v>
      </c>
      <c r="AA12" s="36">
        <f t="shared" si="11"/>
        <v>20855.26345240133</v>
      </c>
      <c r="AB12" s="36">
        <f t="shared" si="12"/>
        <v>41123.169543549142</v>
      </c>
    </row>
    <row r="13" spans="1:28" ht="18" x14ac:dyDescent="0.25">
      <c r="B13" s="28">
        <v>35</v>
      </c>
      <c r="C13" s="28">
        <v>39</v>
      </c>
      <c r="E13" s="28">
        <f>Gráficas!C15</f>
        <v>17984.418680545186</v>
      </c>
      <c r="F13" s="28">
        <f>Gráficas!D15</f>
        <v>20437.866520662577</v>
      </c>
      <c r="H13" s="28">
        <f>Gráficas!O15</f>
        <v>17915.472789910251</v>
      </c>
      <c r="I13" s="28">
        <f>Gráficas!P15</f>
        <v>19662.937027696502</v>
      </c>
      <c r="K13" s="28">
        <f t="shared" si="0"/>
        <v>-3.9334755325814985E-4</v>
      </c>
      <c r="L13" s="28">
        <f t="shared" si="1"/>
        <v>-3.9513894123570648E-3</v>
      </c>
      <c r="N13" s="33">
        <f t="shared" si="2"/>
        <v>17984.079446544551</v>
      </c>
      <c r="O13" s="33">
        <f t="shared" si="3"/>
        <v>20433.987261411952</v>
      </c>
      <c r="P13" s="33">
        <f t="shared" si="4"/>
        <v>38418.066707956503</v>
      </c>
      <c r="R13" s="26">
        <f t="shared" si="13"/>
        <v>17948.71794623079</v>
      </c>
      <c r="S13" s="26">
        <f t="shared" si="5"/>
        <v>20033.234626078898</v>
      </c>
      <c r="T13" s="26">
        <f t="shared" si="6"/>
        <v>37981.952572309689</v>
      </c>
      <c r="V13" s="26">
        <f t="shared" si="7"/>
        <v>17913.406667613883</v>
      </c>
      <c r="W13" s="26">
        <f t="shared" si="8"/>
        <v>19640.128535523938</v>
      </c>
      <c r="X13" s="26">
        <f t="shared" si="9"/>
        <v>37553.535203137821</v>
      </c>
      <c r="Y13" s="3"/>
      <c r="Z13" s="36">
        <f t="shared" si="10"/>
        <v>17878.184128846737</v>
      </c>
      <c r="AA13" s="36">
        <f t="shared" si="11"/>
        <v>19254.945107140651</v>
      </c>
      <c r="AB13" s="36">
        <f t="shared" si="12"/>
        <v>37133.129235987391</v>
      </c>
    </row>
    <row r="14" spans="1:28" ht="18" x14ac:dyDescent="0.25">
      <c r="B14" s="28">
        <v>40</v>
      </c>
      <c r="C14" s="28">
        <v>44</v>
      </c>
      <c r="E14" s="28">
        <f>Gráficas!C16</f>
        <v>16905.971231576477</v>
      </c>
      <c r="F14" s="28">
        <f>Gráficas!D16</f>
        <v>18998.066779506582</v>
      </c>
      <c r="H14" s="28">
        <f>Gráficas!O16</f>
        <v>16818.171891837617</v>
      </c>
      <c r="I14" s="28">
        <f>Gráficas!P16</f>
        <v>19052.470937386592</v>
      </c>
      <c r="K14" s="28">
        <f t="shared" si="0"/>
        <v>-5.3318951192626862E-4</v>
      </c>
      <c r="L14" s="28">
        <f t="shared" si="1"/>
        <v>2.9294176269289984E-4</v>
      </c>
      <c r="N14" s="33">
        <f t="shared" si="2"/>
        <v>16905.538939613187</v>
      </c>
      <c r="O14" s="33">
        <f t="shared" si="3"/>
        <v>18998.33357305931</v>
      </c>
      <c r="P14" s="33">
        <f t="shared" si="4"/>
        <v>35903.872512672497</v>
      </c>
      <c r="R14" s="26">
        <f t="shared" si="13"/>
        <v>16860.493058369419</v>
      </c>
      <c r="S14" s="26">
        <f t="shared" si="5"/>
        <v>19026.19217566029</v>
      </c>
      <c r="T14" s="26">
        <f t="shared" si="6"/>
        <v>35886.685234029705</v>
      </c>
      <c r="V14" s="26">
        <f t="shared" si="7"/>
        <v>16815.542634135632</v>
      </c>
      <c r="W14" s="26">
        <f t="shared" si="8"/>
        <v>19054.106919506925</v>
      </c>
      <c r="X14" s="26">
        <f t="shared" si="9"/>
        <v>35869.649553642557</v>
      </c>
      <c r="Y14" s="3"/>
      <c r="Z14" s="36">
        <f t="shared" si="10"/>
        <v>16770.736553758514</v>
      </c>
      <c r="AA14" s="36">
        <f t="shared" si="11"/>
        <v>19082.047306517496</v>
      </c>
      <c r="AB14" s="36">
        <f t="shared" si="12"/>
        <v>35852.783860276009</v>
      </c>
    </row>
    <row r="15" spans="1:28" ht="18" x14ac:dyDescent="0.25">
      <c r="B15" s="28">
        <v>45</v>
      </c>
      <c r="C15" s="28">
        <v>49</v>
      </c>
      <c r="E15" s="28">
        <f>Gráficas!C17</f>
        <v>14713.998672226606</v>
      </c>
      <c r="F15" s="28">
        <f>Gráficas!D17</f>
        <v>16329.414405782412</v>
      </c>
      <c r="H15" s="28">
        <f>Gráficas!O17</f>
        <v>16639.74949002517</v>
      </c>
      <c r="I15" s="28">
        <f>Gráficas!P17</f>
        <v>19148.972236162146</v>
      </c>
      <c r="K15" s="28">
        <f t="shared" si="0"/>
        <v>1.267775161195428E-2</v>
      </c>
      <c r="L15" s="28">
        <f t="shared" si="1"/>
        <v>1.6448548817641573E-2</v>
      </c>
      <c r="N15" s="33">
        <f t="shared" si="2"/>
        <v>14722.888857179783</v>
      </c>
      <c r="O15" s="33">
        <f t="shared" si="3"/>
        <v>16342.192489611656</v>
      </c>
      <c r="P15" s="33">
        <f t="shared" si="4"/>
        <v>31065.081346791441</v>
      </c>
      <c r="R15" s="26">
        <f t="shared" si="13"/>
        <v>15680.661034664829</v>
      </c>
      <c r="S15" s="26">
        <f t="shared" si="5"/>
        <v>17731.959654133163</v>
      </c>
      <c r="T15" s="26">
        <f t="shared" si="6"/>
        <v>33412.620688797993</v>
      </c>
      <c r="V15" s="26">
        <f t="shared" si="7"/>
        <v>16701.315871530609</v>
      </c>
      <c r="W15" s="26">
        <f t="shared" si="8"/>
        <v>19240.774927434202</v>
      </c>
      <c r="X15" s="26">
        <f t="shared" si="9"/>
        <v>35942.090798964811</v>
      </c>
      <c r="Y15" s="3"/>
      <c r="Z15" s="36">
        <f t="shared" si="10"/>
        <v>17787.791211004547</v>
      </c>
      <c r="AA15" s="36">
        <f t="shared" si="11"/>
        <v>20877.042351838543</v>
      </c>
      <c r="AB15" s="36">
        <f t="shared" si="12"/>
        <v>38664.833562843094</v>
      </c>
    </row>
    <row r="16" spans="1:28" ht="18" x14ac:dyDescent="0.25">
      <c r="B16" s="28">
        <v>50</v>
      </c>
      <c r="C16" s="28">
        <v>54</v>
      </c>
      <c r="E16" s="28">
        <f>Gráficas!C18</f>
        <v>12167.627348932449</v>
      </c>
      <c r="F16" s="28">
        <f>Gráficas!D18</f>
        <v>13324.656359043402</v>
      </c>
      <c r="H16" s="28">
        <f>Gráficas!O18</f>
        <v>15761.270878647863</v>
      </c>
      <c r="I16" s="28">
        <f>Gráficas!P18</f>
        <v>18130.111148441749</v>
      </c>
      <c r="K16" s="28">
        <f t="shared" si="0"/>
        <v>2.6860234924177329E-2</v>
      </c>
      <c r="L16" s="28">
        <f t="shared" si="1"/>
        <v>3.2046094448845874E-2</v>
      </c>
      <c r="N16" s="33">
        <f t="shared" si="2"/>
        <v>12183.100134115011</v>
      </c>
      <c r="O16" s="33">
        <f t="shared" si="3"/>
        <v>13344.823168845223</v>
      </c>
      <c r="P16" s="33">
        <f t="shared" si="4"/>
        <v>25527.923302960233</v>
      </c>
      <c r="R16" s="26">
        <f t="shared" si="13"/>
        <v>13910.605439912159</v>
      </c>
      <c r="S16" s="26">
        <f t="shared" si="5"/>
        <v>15625.928349721071</v>
      </c>
      <c r="T16" s="26">
        <f t="shared" si="6"/>
        <v>29536.533789633228</v>
      </c>
      <c r="V16" s="26">
        <f t="shared" si="7"/>
        <v>15884.21618186156</v>
      </c>
      <c r="W16" s="26">
        <f t="shared" si="8"/>
        <v>18298.536876338076</v>
      </c>
      <c r="X16" s="26">
        <f t="shared" si="9"/>
        <v>34182.75305819964</v>
      </c>
      <c r="Y16" s="3"/>
      <c r="Z16" s="36">
        <f t="shared" si="10"/>
        <v>18136.522034274061</v>
      </c>
      <c r="AA16" s="36">
        <f t="shared" si="11"/>
        <v>21426.408017299364</v>
      </c>
      <c r="AB16" s="36">
        <f t="shared" si="12"/>
        <v>39562.930051573421</v>
      </c>
    </row>
    <row r="17" spans="2:28" ht="18" x14ac:dyDescent="0.25">
      <c r="B17" s="28">
        <v>55</v>
      </c>
      <c r="C17" s="28">
        <v>59</v>
      </c>
      <c r="E17" s="28">
        <f>Gráficas!C19</f>
        <v>9131.0584166968838</v>
      </c>
      <c r="F17" s="28">
        <f>Gráficas!D19</f>
        <v>9613.9684489176361</v>
      </c>
      <c r="H17" s="28">
        <f>Gráficas!O19</f>
        <v>13641.277538640783</v>
      </c>
      <c r="I17" s="28">
        <f>Gráficas!P19</f>
        <v>15456.968885146374</v>
      </c>
      <c r="K17" s="28">
        <f t="shared" si="0"/>
        <v>4.1973247316756446E-2</v>
      </c>
      <c r="L17" s="28">
        <f t="shared" si="1"/>
        <v>4.9839101463491131E-2</v>
      </c>
      <c r="N17" s="33">
        <f t="shared" si="2"/>
        <v>9149.0764812757734</v>
      </c>
      <c r="O17" s="33">
        <f t="shared" si="3"/>
        <v>9636.4134881568752</v>
      </c>
      <c r="P17" s="33">
        <f t="shared" si="4"/>
        <v>18785.489969432649</v>
      </c>
      <c r="R17" s="26">
        <f t="shared" si="13"/>
        <v>11238.517420827697</v>
      </c>
      <c r="S17" s="26">
        <f t="shared" si="5"/>
        <v>12290.994319358451</v>
      </c>
      <c r="T17" s="26">
        <f t="shared" si="6"/>
        <v>23529.51174018615</v>
      </c>
      <c r="V17" s="26">
        <f t="shared" si="7"/>
        <v>13806.694338496181</v>
      </c>
      <c r="W17" s="26">
        <f t="shared" si="8"/>
        <v>15678.932109348585</v>
      </c>
      <c r="X17" s="26">
        <f t="shared" si="9"/>
        <v>29485.626447844767</v>
      </c>
      <c r="Y17" s="3"/>
      <c r="Z17" s="36">
        <f t="shared" si="10"/>
        <v>16959.829242305728</v>
      </c>
      <c r="AA17" s="36">
        <f t="shared" si="11"/>
        <v>19998.069377829204</v>
      </c>
      <c r="AB17" s="36">
        <f t="shared" si="12"/>
        <v>36957.898620134933</v>
      </c>
    </row>
    <row r="18" spans="2:28" ht="18" x14ac:dyDescent="0.25">
      <c r="B18" s="28">
        <v>60</v>
      </c>
      <c r="C18" s="28">
        <v>64</v>
      </c>
      <c r="E18" s="28">
        <f>Gráficas!C20</f>
        <v>6113.9347098095259</v>
      </c>
      <c r="F18" s="28">
        <f>Gráficas!D20</f>
        <v>6244.9742146832168</v>
      </c>
      <c r="H18" s="28">
        <f>Gráficas!O20</f>
        <v>11045.053357483408</v>
      </c>
      <c r="I18" s="28">
        <f>Gráficas!P20</f>
        <v>12470.369389535324</v>
      </c>
      <c r="K18" s="28">
        <f t="shared" si="0"/>
        <v>6.2449189985198661E-2</v>
      </c>
      <c r="L18" s="28">
        <f t="shared" si="1"/>
        <v>7.3405780825362754E-2</v>
      </c>
      <c r="N18" s="33">
        <f t="shared" si="2"/>
        <v>6131.7176321898578</v>
      </c>
      <c r="O18" s="33">
        <f t="shared" si="3"/>
        <v>6266.2199142083618</v>
      </c>
      <c r="P18" s="33">
        <f t="shared" si="4"/>
        <v>12397.93754639822</v>
      </c>
      <c r="R18" s="26">
        <f t="shared" si="13"/>
        <v>8302.2359737984207</v>
      </c>
      <c r="S18" s="26">
        <f t="shared" si="5"/>
        <v>8931.1948925490378</v>
      </c>
      <c r="T18" s="26">
        <f t="shared" si="6"/>
        <v>17233.430866347459</v>
      </c>
      <c r="V18" s="26">
        <f t="shared" si="7"/>
        <v>11242.944743821075</v>
      </c>
      <c r="W18" s="26">
        <f t="shared" si="8"/>
        <v>12732.033867304428</v>
      </c>
      <c r="X18" s="26">
        <f t="shared" si="9"/>
        <v>23974.978611125502</v>
      </c>
      <c r="Y18" s="3"/>
      <c r="Z18" s="36">
        <f t="shared" si="10"/>
        <v>15222.746039961328</v>
      </c>
      <c r="AA18" s="36">
        <f t="shared" si="11"/>
        <v>18146.869628624645</v>
      </c>
      <c r="AB18" s="36">
        <f t="shared" si="12"/>
        <v>33369.615668585975</v>
      </c>
    </row>
    <row r="19" spans="2:28" ht="18" x14ac:dyDescent="0.25">
      <c r="B19" s="28">
        <v>65</v>
      </c>
      <c r="C19" s="28">
        <v>69</v>
      </c>
      <c r="E19" s="28">
        <f>Gráficas!C21</f>
        <v>3681.9470650342337</v>
      </c>
      <c r="F19" s="28">
        <f>Gráficas!D21</f>
        <v>3945.3840309387033</v>
      </c>
      <c r="H19" s="28">
        <f>Gráficas!O21</f>
        <v>7984.1054231299913</v>
      </c>
      <c r="I19" s="28">
        <f>Gráficas!P21</f>
        <v>8907.7015445907437</v>
      </c>
      <c r="K19" s="28">
        <f t="shared" si="0"/>
        <v>8.2507305331054548E-2</v>
      </c>
      <c r="L19" s="28">
        <f t="shared" si="1"/>
        <v>8.6991498866262562E-2</v>
      </c>
      <c r="N19" s="33">
        <f t="shared" si="2"/>
        <v>3695.9691191161837</v>
      </c>
      <c r="O19" s="33">
        <f t="shared" si="3"/>
        <v>3961.1943644689873</v>
      </c>
      <c r="P19" s="33">
        <f t="shared" si="4"/>
        <v>7657.163483585171</v>
      </c>
      <c r="R19" s="26">
        <f t="shared" si="13"/>
        <v>5495.115743420045</v>
      </c>
      <c r="S19" s="26">
        <f t="shared" si="5"/>
        <v>6012.5145464500938</v>
      </c>
      <c r="T19" s="26">
        <f t="shared" si="6"/>
        <v>11507.63028987014</v>
      </c>
      <c r="V19" s="26">
        <f t="shared" si="7"/>
        <v>8171.8368221910941</v>
      </c>
      <c r="W19" s="26">
        <f t="shared" si="8"/>
        <v>9128.2048435385932</v>
      </c>
      <c r="X19" s="26">
        <f t="shared" si="9"/>
        <v>17300.041665729688</v>
      </c>
      <c r="Y19" s="3"/>
      <c r="Z19" s="36">
        <f t="shared" si="10"/>
        <v>12149.773909642428</v>
      </c>
      <c r="AA19" s="36">
        <f t="shared" si="11"/>
        <v>13855.281855655507</v>
      </c>
      <c r="AB19" s="36">
        <f t="shared" si="12"/>
        <v>26005.055765297933</v>
      </c>
    </row>
    <row r="20" spans="2:28" ht="18" x14ac:dyDescent="0.25">
      <c r="B20" s="28">
        <v>70</v>
      </c>
      <c r="C20" s="28">
        <v>74</v>
      </c>
      <c r="E20" s="28">
        <f>Gráficas!C22</f>
        <v>2145.7107160377964</v>
      </c>
      <c r="F20" s="28">
        <f>Gráficas!D22</f>
        <v>2548.1928117160114</v>
      </c>
      <c r="H20" s="28">
        <f>Gráficas!O22</f>
        <v>4948.6106670232184</v>
      </c>
      <c r="I20" s="28">
        <f>Gráficas!P22</f>
        <v>5364.233893245706</v>
      </c>
      <c r="K20" s="28">
        <f t="shared" si="0"/>
        <v>8.9361796061758314E-2</v>
      </c>
      <c r="L20" s="28">
        <f t="shared" si="1"/>
        <v>7.9225646054519538E-2</v>
      </c>
      <c r="N20" s="33">
        <f t="shared" si="2"/>
        <v>2154.5342188944419</v>
      </c>
      <c r="O20" s="33">
        <f t="shared" si="3"/>
        <v>2557.5248384308625</v>
      </c>
      <c r="P20" s="33">
        <f t="shared" si="4"/>
        <v>4712.0590573253048</v>
      </c>
      <c r="R20" s="26">
        <f t="shared" si="13"/>
        <v>3306.099652826797</v>
      </c>
      <c r="S20" s="26">
        <f t="shared" si="5"/>
        <v>3745.1728312897649</v>
      </c>
      <c r="T20" s="26">
        <f t="shared" si="6"/>
        <v>7051.2724841165618</v>
      </c>
      <c r="V20" s="26">
        <f t="shared" si="7"/>
        <v>5074.3489051020197</v>
      </c>
      <c r="W20" s="26">
        <f t="shared" si="8"/>
        <v>5485.4793777911009</v>
      </c>
      <c r="X20" s="26">
        <f t="shared" si="9"/>
        <v>10559.828282893121</v>
      </c>
      <c r="Y20" s="3"/>
      <c r="Z20" s="36">
        <f t="shared" si="10"/>
        <v>7786.5104236256993</v>
      </c>
      <c r="AA20" s="36">
        <f t="shared" si="11"/>
        <v>8032.7932787186801</v>
      </c>
      <c r="AB20" s="36">
        <f t="shared" si="12"/>
        <v>15819.303702344379</v>
      </c>
    </row>
    <row r="21" spans="2:28" ht="18" x14ac:dyDescent="0.25">
      <c r="B21" s="28">
        <v>75</v>
      </c>
      <c r="C21" s="28">
        <v>79</v>
      </c>
      <c r="E21" s="28">
        <f>Gráficas!C23</f>
        <v>1279.0637117931874</v>
      </c>
      <c r="F21" s="28">
        <f>Gráficas!D23</f>
        <v>1693.6728718405504</v>
      </c>
      <c r="H21" s="28">
        <f>Gráficas!O23</f>
        <v>2627.6185189456146</v>
      </c>
      <c r="I21" s="28">
        <f>Gráficas!P23</f>
        <v>2968.9628356922517</v>
      </c>
      <c r="K21" s="28">
        <f t="shared" si="0"/>
        <v>7.6529624867776924E-2</v>
      </c>
      <c r="L21" s="28">
        <f t="shared" si="1"/>
        <v>5.9178752934712975E-2</v>
      </c>
      <c r="N21" s="33">
        <f t="shared" si="2"/>
        <v>1283.5939759622152</v>
      </c>
      <c r="O21" s="33">
        <f t="shared" si="3"/>
        <v>1698.3480137290214</v>
      </c>
      <c r="P21" s="33">
        <f t="shared" si="4"/>
        <v>2981.9419896912368</v>
      </c>
      <c r="R21" s="26">
        <f t="shared" si="13"/>
        <v>1856.2879297003117</v>
      </c>
      <c r="S21" s="26">
        <f t="shared" si="5"/>
        <v>2264.3387453494306</v>
      </c>
      <c r="T21" s="26">
        <f t="shared" si="6"/>
        <v>4120.6266750497425</v>
      </c>
      <c r="V21" s="26">
        <f t="shared" si="7"/>
        <v>2685.0399611984221</v>
      </c>
      <c r="W21" s="26">
        <f t="shared" si="8"/>
        <v>3019.4268805425254</v>
      </c>
      <c r="X21" s="26">
        <f t="shared" si="9"/>
        <v>5704.4668417409475</v>
      </c>
      <c r="Y21" s="3"/>
      <c r="Z21" s="36">
        <f t="shared" si="10"/>
        <v>3883.0092412979216</v>
      </c>
      <c r="AA21" s="36">
        <f t="shared" si="11"/>
        <v>4025.6797894738675</v>
      </c>
      <c r="AB21" s="36">
        <f t="shared" si="12"/>
        <v>7908.6890307717895</v>
      </c>
    </row>
    <row r="22" spans="2:28" ht="18" x14ac:dyDescent="0.25">
      <c r="B22" s="28">
        <v>80</v>
      </c>
      <c r="C22" s="28">
        <v>84</v>
      </c>
      <c r="E22" s="28">
        <f>Gráficas!C24</f>
        <v>704.60345967621515</v>
      </c>
      <c r="F22" s="28">
        <f>Gráficas!D24</f>
        <v>1096.2645643167089</v>
      </c>
      <c r="H22" s="28">
        <f>Gráficas!O24</f>
        <v>1380.850554510643</v>
      </c>
      <c r="I22" s="28">
        <f>Gráficas!P24</f>
        <v>1792.1848462166577</v>
      </c>
      <c r="K22" s="28">
        <f t="shared" si="0"/>
        <v>7.1345323877486821E-2</v>
      </c>
      <c r="L22" s="28">
        <f t="shared" si="1"/>
        <v>5.1634707607077557E-2</v>
      </c>
      <c r="N22" s="33">
        <f t="shared" si="2"/>
        <v>706.9354270883623</v>
      </c>
      <c r="O22" s="33">
        <f t="shared" si="3"/>
        <v>1098.913968546439</v>
      </c>
      <c r="P22" s="33">
        <f t="shared" si="4"/>
        <v>1805.8493956348013</v>
      </c>
      <c r="R22" s="26">
        <f t="shared" si="13"/>
        <v>997.95081397472927</v>
      </c>
      <c r="S22" s="26">
        <f t="shared" si="5"/>
        <v>1413.6703594572382</v>
      </c>
      <c r="T22" s="26">
        <f t="shared" si="6"/>
        <v>2411.6211734319677</v>
      </c>
      <c r="V22" s="26">
        <f t="shared" si="7"/>
        <v>1409.0309275339387</v>
      </c>
      <c r="W22" s="26">
        <f t="shared" si="8"/>
        <v>1818.8316984240287</v>
      </c>
      <c r="X22" s="26">
        <f t="shared" si="9"/>
        <v>3227.8626259579673</v>
      </c>
      <c r="Y22" s="3"/>
      <c r="Z22" s="36">
        <f t="shared" si="10"/>
        <v>1989.069308408423</v>
      </c>
      <c r="AA22" s="36">
        <f t="shared" si="11"/>
        <v>2339.7904972527963</v>
      </c>
      <c r="AB22" s="36">
        <f t="shared" si="12"/>
        <v>4328.8598056612191</v>
      </c>
    </row>
    <row r="23" spans="2:28" ht="18" x14ac:dyDescent="0.25">
      <c r="B23" s="28" t="s">
        <v>25</v>
      </c>
      <c r="C23" s="28"/>
      <c r="E23" s="28">
        <f>Gráficas!C25</f>
        <v>505.32167310112402</v>
      </c>
      <c r="F23" s="28">
        <f>Gráficas!D25</f>
        <v>880.87245344076598</v>
      </c>
      <c r="H23" s="28">
        <f>Gráficas!O25</f>
        <v>908.55964021424904</v>
      </c>
      <c r="I23" s="28">
        <f>Gráficas!P25</f>
        <v>1616.0684124175893</v>
      </c>
      <c r="K23" s="28">
        <f t="shared" si="0"/>
        <v>6.1932750977642836E-2</v>
      </c>
      <c r="L23" s="28">
        <f>(I23/F23)^(1/$I$30)-1</f>
        <v>6.412930068180156E-2</v>
      </c>
      <c r="N23" s="33">
        <f t="shared" si="2"/>
        <v>506.77963239229319</v>
      </c>
      <c r="O23" s="33">
        <f t="shared" si="3"/>
        <v>883.50147951542499</v>
      </c>
      <c r="P23" s="33">
        <f>SUM(N23,O23)</f>
        <v>1390.2811119077182</v>
      </c>
      <c r="R23" s="26">
        <f t="shared" si="13"/>
        <v>684.5035834537573</v>
      </c>
      <c r="S23" s="26">
        <f t="shared" si="5"/>
        <v>1205.7388275457736</v>
      </c>
      <c r="T23" s="26">
        <f>SUM(R23,S23)</f>
        <v>1890.2424109995309</v>
      </c>
      <c r="V23" s="26">
        <f t="shared" si="7"/>
        <v>924.70626200867173</v>
      </c>
      <c r="W23" s="26">
        <f t="shared" si="8"/>
        <v>1645.7852622763319</v>
      </c>
      <c r="X23" s="26">
        <f>SUM(V23,W23)</f>
        <v>2570.4915242850038</v>
      </c>
      <c r="Y23" s="3"/>
      <c r="Z23" s="36">
        <f t="shared" si="10"/>
        <v>1248.9940588162649</v>
      </c>
      <c r="AA23" s="36">
        <f t="shared" si="11"/>
        <v>2246.0485223154992</v>
      </c>
      <c r="AB23" s="36">
        <f>SUM(Z23,AA23)</f>
        <v>3495.0425811317641</v>
      </c>
    </row>
    <row r="24" spans="2:28" ht="18" x14ac:dyDescent="0.25">
      <c r="B24" s="77" t="s">
        <v>34</v>
      </c>
      <c r="C24" s="77"/>
      <c r="E24" s="29">
        <f>SUM(E5:E23)</f>
        <v>238669.55208711044</v>
      </c>
      <c r="F24" s="29">
        <f>SUM(F5:F23)</f>
        <v>248911.93663071733</v>
      </c>
      <c r="H24" s="29">
        <f>SUM(H5:H23)</f>
        <v>251568.64477966697</v>
      </c>
      <c r="I24" s="29">
        <f>SUM(I5:I23)</f>
        <v>264737.71044771251</v>
      </c>
      <c r="K24" s="31">
        <f>(H24/E24)^(1/I30)-1</f>
        <v>5.405919973880069E-3</v>
      </c>
      <c r="L24" s="31">
        <f>(I24/F24)^(1/I30)-1</f>
        <v>6.3336382263452506E-3</v>
      </c>
      <c r="N24" s="34">
        <f>SUM(N5:N23)</f>
        <v>238698.54561933569</v>
      </c>
      <c r="O24" s="34">
        <f>SUM(O5:O23)</f>
        <v>248947.91978545429</v>
      </c>
      <c r="P24" s="34">
        <f>SUM(P5:P23)</f>
        <v>487646.46540479001</v>
      </c>
      <c r="R24" s="32">
        <f>SUM(R5:R23)</f>
        <v>243431.72580021713</v>
      </c>
      <c r="S24" s="32">
        <f>SUM(S5:S23)</f>
        <v>254769.21904154913</v>
      </c>
      <c r="T24" s="32">
        <f>SUM(T5:T23)</f>
        <v>498200.94484176638</v>
      </c>
      <c r="V24" s="35">
        <f>SUM(V5:V23)</f>
        <v>252215.87834033938</v>
      </c>
      <c r="W24" s="35">
        <f>SUM(W5:W23)</f>
        <v>265530.78700046276</v>
      </c>
      <c r="X24" s="35">
        <f>SUM(X5:X23)</f>
        <v>517746.66534080217</v>
      </c>
      <c r="Y24" s="3"/>
      <c r="Z24" s="37">
        <f>SUM(Z5:Z23)</f>
        <v>266358.70676470286</v>
      </c>
      <c r="AA24" s="37">
        <f>SUM(AA5:AA23)</f>
        <v>282877.69396304869</v>
      </c>
      <c r="AB24" s="37">
        <f>SUM(AB5:AB23)</f>
        <v>549236.40072775166</v>
      </c>
    </row>
    <row r="25" spans="2:28" ht="15.75" x14ac:dyDescent="0.25">
      <c r="B25" s="77" t="s">
        <v>35</v>
      </c>
      <c r="C25" s="77"/>
      <c r="E25" s="78">
        <f>SUM(E24,F24)</f>
        <v>487581.48871782777</v>
      </c>
      <c r="F25" s="79"/>
      <c r="H25" s="78">
        <f>SUM(H24,I24)</f>
        <v>516306.35522737948</v>
      </c>
      <c r="I25" s="79"/>
      <c r="K25" s="70">
        <f>(H25/E25)^(1/I30)-1</f>
        <v>5.880459934836102E-3</v>
      </c>
      <c r="L25" s="71"/>
      <c r="P25" s="3"/>
    </row>
    <row r="26" spans="2:28" x14ac:dyDescent="0.25">
      <c r="H26" s="4"/>
    </row>
    <row r="28" spans="2:28" s="2" customFormat="1" ht="15.75" x14ac:dyDescent="0.25">
      <c r="B28" s="76" t="s">
        <v>38</v>
      </c>
      <c r="C28" s="76"/>
      <c r="D28" s="76"/>
      <c r="E28" s="76"/>
    </row>
    <row r="29" spans="2:28" s="2" customFormat="1" ht="15.75" x14ac:dyDescent="0.25">
      <c r="B29" s="109" t="s">
        <v>39</v>
      </c>
      <c r="C29" s="44" t="s">
        <v>40</v>
      </c>
      <c r="D29" s="44" t="s">
        <v>41</v>
      </c>
      <c r="E29" s="44" t="s">
        <v>42</v>
      </c>
    </row>
    <row r="30" spans="2:28" ht="15.75" x14ac:dyDescent="0.25">
      <c r="B30" s="41">
        <v>2010</v>
      </c>
      <c r="C30" s="42">
        <v>40329</v>
      </c>
      <c r="D30" s="42">
        <v>40354</v>
      </c>
      <c r="E30" s="43">
        <v>40341.5</v>
      </c>
      <c r="H30" s="27" t="s">
        <v>43</v>
      </c>
      <c r="I30" s="27">
        <f>(E31-E30)/365</f>
        <v>9.7630136986301377</v>
      </c>
      <c r="J30" s="26" t="s">
        <v>44</v>
      </c>
      <c r="N30" s="65" t="s">
        <v>58</v>
      </c>
      <c r="O30" s="65"/>
      <c r="P30" s="65"/>
      <c r="R30" s="66" t="s">
        <v>59</v>
      </c>
      <c r="S30" s="66"/>
      <c r="T30" s="66"/>
      <c r="U30" s="39">
        <f>RIGHT(R30,4)+$P$31</f>
        <v>2128.2191884340077</v>
      </c>
      <c r="V30" s="26">
        <f>U30-P31</f>
        <v>2010</v>
      </c>
    </row>
    <row r="31" spans="2:28" ht="15.75" x14ac:dyDescent="0.25">
      <c r="B31" s="41">
        <v>2020</v>
      </c>
      <c r="C31" s="42">
        <v>43892</v>
      </c>
      <c r="D31" s="42">
        <v>43917</v>
      </c>
      <c r="E31" s="43">
        <v>43905</v>
      </c>
      <c r="H31" s="26" t="s">
        <v>45</v>
      </c>
      <c r="I31" s="26">
        <f>(E32-E30)/365</f>
        <v>4.7945205479452052E-2</v>
      </c>
      <c r="J31" s="26" t="s">
        <v>46</v>
      </c>
      <c r="N31" s="40"/>
      <c r="O31" s="40"/>
      <c r="P31" s="23">
        <f>LN(2)/LN(1+K25)</f>
        <v>118.21918843400766</v>
      </c>
      <c r="R31" s="66" t="s">
        <v>60</v>
      </c>
      <c r="S31" s="66"/>
      <c r="T31" s="66"/>
      <c r="U31" s="39">
        <f>RIGHT(R31,4)+$P$31</f>
        <v>2138.2191884340077</v>
      </c>
      <c r="V31" s="26">
        <f>U31-P31</f>
        <v>2020</v>
      </c>
    </row>
    <row r="32" spans="2:28" ht="15.75" x14ac:dyDescent="0.25">
      <c r="B32" s="41">
        <v>2010</v>
      </c>
      <c r="C32" s="42"/>
      <c r="D32" s="42"/>
      <c r="E32" s="43">
        <v>40359</v>
      </c>
      <c r="H32" s="26" t="s">
        <v>47</v>
      </c>
      <c r="I32" s="26">
        <f>(E33-E30)/365</f>
        <v>5.0506849315068489</v>
      </c>
      <c r="J32" s="26" t="s">
        <v>48</v>
      </c>
    </row>
    <row r="33" spans="2:22" ht="15.75" x14ac:dyDescent="0.25">
      <c r="B33" s="44">
        <v>2015</v>
      </c>
      <c r="C33" s="55"/>
      <c r="D33" s="55"/>
      <c r="E33" s="43">
        <v>42185</v>
      </c>
      <c r="H33" s="26" t="s">
        <v>49</v>
      </c>
      <c r="I33" s="26">
        <f>(E34-E31)/365</f>
        <v>0.29315068493150687</v>
      </c>
      <c r="J33" s="26" t="s">
        <v>50</v>
      </c>
    </row>
    <row r="34" spans="2:22" ht="15.75" x14ac:dyDescent="0.25">
      <c r="B34" s="44">
        <v>2020</v>
      </c>
      <c r="C34" s="55"/>
      <c r="D34" s="55"/>
      <c r="E34" s="43">
        <v>44012</v>
      </c>
      <c r="H34" s="26" t="s">
        <v>51</v>
      </c>
      <c r="I34" s="26">
        <f>(E35-E31)/365</f>
        <v>5.2958904109589042</v>
      </c>
      <c r="J34" s="26" t="s">
        <v>52</v>
      </c>
    </row>
    <row r="35" spans="2:22" ht="15.75" x14ac:dyDescent="0.25">
      <c r="B35" s="41">
        <v>2025</v>
      </c>
      <c r="C35" s="42"/>
      <c r="D35" s="42"/>
      <c r="E35" s="43">
        <v>45838</v>
      </c>
    </row>
    <row r="37" spans="2:22" x14ac:dyDescent="0.25">
      <c r="B37" s="73" t="s">
        <v>2</v>
      </c>
      <c r="C37" s="73"/>
      <c r="D37" s="73"/>
      <c r="E37" s="73"/>
      <c r="F37" s="73"/>
      <c r="R37" s="74" t="s">
        <v>3</v>
      </c>
      <c r="S37" s="74"/>
      <c r="T37" s="74"/>
      <c r="U37" s="74"/>
      <c r="V37" s="74"/>
    </row>
    <row r="38" spans="2:22" x14ac:dyDescent="0.25">
      <c r="B38" s="45" t="s">
        <v>31</v>
      </c>
      <c r="C38" s="47">
        <v>2010</v>
      </c>
      <c r="D38" s="47">
        <v>2015</v>
      </c>
      <c r="E38" s="47">
        <v>2020</v>
      </c>
      <c r="F38" s="47">
        <v>2025</v>
      </c>
      <c r="R38" s="46" t="s">
        <v>31</v>
      </c>
      <c r="S38" s="48">
        <v>2010</v>
      </c>
      <c r="T38" s="48">
        <v>2015</v>
      </c>
      <c r="U38" s="48">
        <v>2020</v>
      </c>
      <c r="V38" s="48">
        <v>2025</v>
      </c>
    </row>
    <row r="39" spans="2:22" ht="15.75" x14ac:dyDescent="0.25">
      <c r="B39" s="46">
        <v>0</v>
      </c>
      <c r="C39" s="26">
        <f>N5</f>
        <v>3907.1772915946071</v>
      </c>
      <c r="D39" s="26">
        <f>R5</f>
        <v>3489.4651678427285</v>
      </c>
      <c r="E39" s="26">
        <f>V5</f>
        <v>3116.2172346680632</v>
      </c>
      <c r="F39" s="26">
        <f>Z5</f>
        <v>2783.065800264083</v>
      </c>
      <c r="R39" s="46">
        <f>B39</f>
        <v>0</v>
      </c>
      <c r="S39" s="26">
        <f>O5</f>
        <v>3864.5627041459138</v>
      </c>
      <c r="T39" s="26">
        <f>S5</f>
        <v>3434.9374968289608</v>
      </c>
      <c r="U39" s="26">
        <f>W5</f>
        <v>3052.8768821105159</v>
      </c>
      <c r="V39" s="26">
        <f>AA5</f>
        <v>2713.4871597021347</v>
      </c>
    </row>
    <row r="40" spans="2:22" ht="15.75" x14ac:dyDescent="0.25">
      <c r="B40" s="46">
        <v>1</v>
      </c>
      <c r="C40" s="26">
        <f t="shared" ref="C40:C57" si="14">N6</f>
        <v>18182.400551759696</v>
      </c>
      <c r="D40" s="26">
        <f t="shared" ref="D40:D57" si="15">R6</f>
        <v>16463.472348085623</v>
      </c>
      <c r="E40" s="26">
        <f t="shared" ref="E40:E57" si="16">V6</f>
        <v>14906.23749653565</v>
      </c>
      <c r="F40" s="26">
        <f t="shared" ref="F40:F57" si="17">Z6</f>
        <v>13497.031271509473</v>
      </c>
      <c r="R40" s="46">
        <f t="shared" ref="R40:R57" si="18">B40</f>
        <v>1</v>
      </c>
      <c r="S40" s="26">
        <f t="shared" ref="S40:S57" si="19">O6</f>
        <v>17457.318792316153</v>
      </c>
      <c r="T40" s="26">
        <f t="shared" ref="T40:T57" si="20">S6</f>
        <v>15879.311617288617</v>
      </c>
      <c r="U40" s="26">
        <f t="shared" ref="U40:U57" si="21">W6</f>
        <v>14443.194734707715</v>
      </c>
      <c r="V40" s="26">
        <f t="shared" ref="V40:V57" si="22">AA6</f>
        <v>13137.641161857779</v>
      </c>
    </row>
    <row r="41" spans="2:22" ht="15.75" x14ac:dyDescent="0.25">
      <c r="B41" s="46">
        <v>5</v>
      </c>
      <c r="C41" s="26">
        <f t="shared" si="14"/>
        <v>23465.682304423815</v>
      </c>
      <c r="D41" s="26">
        <f t="shared" si="15"/>
        <v>21268.818848699768</v>
      </c>
      <c r="E41" s="26">
        <f t="shared" si="16"/>
        <v>19276.588615423214</v>
      </c>
      <c r="F41" s="26">
        <f t="shared" si="17"/>
        <v>17471.909231680518</v>
      </c>
      <c r="R41" s="46">
        <f t="shared" si="18"/>
        <v>5</v>
      </c>
      <c r="S41" s="26">
        <f t="shared" si="19"/>
        <v>22393.196309981347</v>
      </c>
      <c r="T41" s="26">
        <f t="shared" si="20"/>
        <v>20519.66465089202</v>
      </c>
      <c r="U41" s="26">
        <f t="shared" si="21"/>
        <v>18801.982736958074</v>
      </c>
      <c r="V41" s="26">
        <f t="shared" si="22"/>
        <v>17228.910745638968</v>
      </c>
    </row>
    <row r="42" spans="2:22" ht="15.75" x14ac:dyDescent="0.25">
      <c r="B42" s="46">
        <f>B41+5</f>
        <v>10</v>
      </c>
      <c r="C42" s="26">
        <f t="shared" si="14"/>
        <v>22922.623482507068</v>
      </c>
      <c r="D42" s="26">
        <f t="shared" si="15"/>
        <v>21792.12710878886</v>
      </c>
      <c r="E42" s="26">
        <f t="shared" si="16"/>
        <v>20716.810666497746</v>
      </c>
      <c r="F42" s="26">
        <f t="shared" si="17"/>
        <v>19695.100418045815</v>
      </c>
      <c r="R42" s="46">
        <f t="shared" si="18"/>
        <v>10</v>
      </c>
      <c r="S42" s="26">
        <f t="shared" si="19"/>
        <v>22310.888876533452</v>
      </c>
      <c r="T42" s="26">
        <f t="shared" si="20"/>
        <v>21008.456117302445</v>
      </c>
      <c r="U42" s="26">
        <f t="shared" si="21"/>
        <v>19781.403266335408</v>
      </c>
      <c r="V42" s="26">
        <f t="shared" si="22"/>
        <v>18626.633154745054</v>
      </c>
    </row>
    <row r="43" spans="2:22" ht="15.75" x14ac:dyDescent="0.25">
      <c r="B43" s="46">
        <f t="shared" ref="B43:B57" si="23">B42+5</f>
        <v>15</v>
      </c>
      <c r="C43" s="26">
        <f t="shared" si="14"/>
        <v>23496.644453558085</v>
      </c>
      <c r="D43" s="26">
        <f t="shared" si="15"/>
        <v>22486.186995708977</v>
      </c>
      <c r="E43" s="26">
        <f t="shared" si="16"/>
        <v>21518.665569446599</v>
      </c>
      <c r="F43" s="26">
        <f t="shared" si="17"/>
        <v>20593.269768757469</v>
      </c>
      <c r="R43" s="46">
        <f t="shared" si="18"/>
        <v>15</v>
      </c>
      <c r="S43" s="26">
        <f t="shared" si="19"/>
        <v>23208.308230709263</v>
      </c>
      <c r="T43" s="26">
        <f t="shared" si="20"/>
        <v>21864.278644487797</v>
      </c>
      <c r="U43" s="26">
        <f t="shared" si="21"/>
        <v>20597.41098638796</v>
      </c>
      <c r="V43" s="26">
        <f t="shared" si="22"/>
        <v>19404.582560891718</v>
      </c>
    </row>
    <row r="44" spans="2:22" ht="15.75" x14ac:dyDescent="0.25">
      <c r="B44" s="46">
        <f t="shared" si="23"/>
        <v>20</v>
      </c>
      <c r="C44" s="26">
        <f t="shared" si="14"/>
        <v>22924.811474886879</v>
      </c>
      <c r="D44" s="26">
        <f t="shared" si="15"/>
        <v>22242.664255962987</v>
      </c>
      <c r="E44" s="26">
        <f t="shared" si="16"/>
        <v>21580.457897704706</v>
      </c>
      <c r="F44" s="26">
        <f t="shared" si="17"/>
        <v>20938.313060258621</v>
      </c>
      <c r="R44" s="46">
        <f t="shared" si="18"/>
        <v>20</v>
      </c>
      <c r="S44" s="26">
        <f t="shared" si="19"/>
        <v>23019.882440906371</v>
      </c>
      <c r="T44" s="26">
        <f t="shared" si="20"/>
        <v>22070.509030663423</v>
      </c>
      <c r="U44" s="26">
        <f t="shared" si="21"/>
        <v>21159.801111145924</v>
      </c>
      <c r="V44" s="26">
        <f t="shared" si="22"/>
        <v>20287.140158488157</v>
      </c>
    </row>
    <row r="45" spans="2:22" ht="15.75" x14ac:dyDescent="0.25">
      <c r="B45" s="46">
        <f t="shared" si="23"/>
        <v>25</v>
      </c>
      <c r="C45" s="26">
        <f t="shared" si="14"/>
        <v>20143.50376765725</v>
      </c>
      <c r="D45" s="26">
        <f t="shared" si="15"/>
        <v>20521.443183353476</v>
      </c>
      <c r="E45" s="26">
        <f t="shared" si="16"/>
        <v>20906.686456654719</v>
      </c>
      <c r="F45" s="26">
        <f t="shared" si="17"/>
        <v>21298.944971097419</v>
      </c>
      <c r="R45" s="46">
        <f t="shared" si="18"/>
        <v>25</v>
      </c>
      <c r="S45" s="26">
        <f t="shared" si="19"/>
        <v>21174.039426968884</v>
      </c>
      <c r="T45" s="26">
        <f t="shared" si="20"/>
        <v>21228.893920187264</v>
      </c>
      <c r="U45" s="26">
        <f t="shared" si="21"/>
        <v>21283.920679737639</v>
      </c>
      <c r="V45" s="26">
        <f t="shared" si="22"/>
        <v>21339.059836657325</v>
      </c>
    </row>
    <row r="46" spans="2:22" ht="15.75" x14ac:dyDescent="0.25">
      <c r="B46" s="46">
        <f t="shared" si="23"/>
        <v>30</v>
      </c>
      <c r="C46" s="26">
        <f t="shared" si="14"/>
        <v>18231.488428576609</v>
      </c>
      <c r="D46" s="26">
        <f t="shared" si="15"/>
        <v>18886.359294595783</v>
      </c>
      <c r="E46" s="26">
        <f t="shared" si="16"/>
        <v>19565.13108791555</v>
      </c>
      <c r="F46" s="26">
        <f t="shared" si="17"/>
        <v>20267.906091147815</v>
      </c>
      <c r="R46" s="46">
        <f t="shared" si="18"/>
        <v>30</v>
      </c>
      <c r="S46" s="26">
        <f t="shared" si="19"/>
        <v>20298.270443908823</v>
      </c>
      <c r="T46" s="26">
        <f t="shared" si="20"/>
        <v>20482.228236305415</v>
      </c>
      <c r="U46" s="26">
        <f t="shared" si="21"/>
        <v>20667.9553050508</v>
      </c>
      <c r="V46" s="26">
        <f t="shared" si="22"/>
        <v>20855.26345240133</v>
      </c>
    </row>
    <row r="47" spans="2:22" ht="15.75" x14ac:dyDescent="0.25">
      <c r="B47" s="46">
        <f t="shared" si="23"/>
        <v>35</v>
      </c>
      <c r="C47" s="26">
        <f t="shared" si="14"/>
        <v>17984.079446544551</v>
      </c>
      <c r="D47" s="26">
        <f t="shared" si="15"/>
        <v>17948.71794623079</v>
      </c>
      <c r="E47" s="26">
        <f t="shared" si="16"/>
        <v>17913.406667613883</v>
      </c>
      <c r="F47" s="26">
        <f t="shared" si="17"/>
        <v>17878.184128846737</v>
      </c>
      <c r="R47" s="46">
        <f t="shared" si="18"/>
        <v>35</v>
      </c>
      <c r="S47" s="26">
        <f t="shared" si="19"/>
        <v>20433.987261411952</v>
      </c>
      <c r="T47" s="26">
        <f t="shared" si="20"/>
        <v>20033.234626078898</v>
      </c>
      <c r="U47" s="26">
        <f t="shared" si="21"/>
        <v>19640.128535523938</v>
      </c>
      <c r="V47" s="26">
        <f t="shared" si="22"/>
        <v>19254.945107140651</v>
      </c>
    </row>
    <row r="48" spans="2:22" ht="15.75" x14ac:dyDescent="0.25">
      <c r="B48" s="46">
        <f t="shared" si="23"/>
        <v>40</v>
      </c>
      <c r="C48" s="26">
        <f t="shared" si="14"/>
        <v>16905.538939613187</v>
      </c>
      <c r="D48" s="26">
        <f t="shared" si="15"/>
        <v>16860.493058369419</v>
      </c>
      <c r="E48" s="26">
        <f t="shared" si="16"/>
        <v>16815.542634135632</v>
      </c>
      <c r="F48" s="26">
        <f t="shared" si="17"/>
        <v>16770.736553758514</v>
      </c>
      <c r="R48" s="46">
        <f t="shared" si="18"/>
        <v>40</v>
      </c>
      <c r="S48" s="26">
        <f t="shared" si="19"/>
        <v>18998.33357305931</v>
      </c>
      <c r="T48" s="26">
        <f t="shared" si="20"/>
        <v>19026.19217566029</v>
      </c>
      <c r="U48" s="26">
        <f t="shared" si="21"/>
        <v>19054.106919506925</v>
      </c>
      <c r="V48" s="26">
        <f t="shared" si="22"/>
        <v>19082.047306517496</v>
      </c>
    </row>
    <row r="49" spans="2:22" ht="15.75" x14ac:dyDescent="0.25">
      <c r="B49" s="46">
        <f t="shared" si="23"/>
        <v>45</v>
      </c>
      <c r="C49" s="26">
        <f t="shared" si="14"/>
        <v>14722.888857179783</v>
      </c>
      <c r="D49" s="26">
        <f t="shared" si="15"/>
        <v>15680.661034664829</v>
      </c>
      <c r="E49" s="26">
        <f t="shared" si="16"/>
        <v>16701.315871530609</v>
      </c>
      <c r="F49" s="26">
        <f t="shared" si="17"/>
        <v>17787.791211004547</v>
      </c>
      <c r="R49" s="46">
        <f t="shared" si="18"/>
        <v>45</v>
      </c>
      <c r="S49" s="26">
        <f t="shared" si="19"/>
        <v>16342.192489611656</v>
      </c>
      <c r="T49" s="26">
        <f t="shared" si="20"/>
        <v>17731.959654133163</v>
      </c>
      <c r="U49" s="26">
        <f t="shared" si="21"/>
        <v>19240.774927434202</v>
      </c>
      <c r="V49" s="26">
        <f t="shared" si="22"/>
        <v>20877.042351838543</v>
      </c>
    </row>
    <row r="50" spans="2:22" ht="15.75" x14ac:dyDescent="0.25">
      <c r="B50" s="46">
        <f t="shared" si="23"/>
        <v>50</v>
      </c>
      <c r="C50" s="26">
        <f t="shared" si="14"/>
        <v>12183.100134115011</v>
      </c>
      <c r="D50" s="26">
        <f t="shared" si="15"/>
        <v>13910.605439912159</v>
      </c>
      <c r="E50" s="26">
        <f t="shared" si="16"/>
        <v>15884.21618186156</v>
      </c>
      <c r="F50" s="26">
        <f t="shared" si="17"/>
        <v>18136.522034274061</v>
      </c>
      <c r="R50" s="46">
        <f t="shared" si="18"/>
        <v>50</v>
      </c>
      <c r="S50" s="26">
        <f t="shared" si="19"/>
        <v>13344.823168845223</v>
      </c>
      <c r="T50" s="26">
        <f t="shared" si="20"/>
        <v>15625.928349721071</v>
      </c>
      <c r="U50" s="26">
        <f t="shared" si="21"/>
        <v>18298.536876338076</v>
      </c>
      <c r="V50" s="26">
        <f t="shared" si="22"/>
        <v>21426.408017299364</v>
      </c>
    </row>
    <row r="51" spans="2:22" ht="15.75" x14ac:dyDescent="0.25">
      <c r="B51" s="46">
        <f t="shared" si="23"/>
        <v>55</v>
      </c>
      <c r="C51" s="26">
        <f t="shared" si="14"/>
        <v>9149.0764812757734</v>
      </c>
      <c r="D51" s="26">
        <f t="shared" si="15"/>
        <v>11238.517420827697</v>
      </c>
      <c r="E51" s="26">
        <f t="shared" si="16"/>
        <v>13806.694338496181</v>
      </c>
      <c r="F51" s="26">
        <f t="shared" si="17"/>
        <v>16959.829242305728</v>
      </c>
      <c r="R51" s="46">
        <f t="shared" si="18"/>
        <v>55</v>
      </c>
      <c r="S51" s="26">
        <f t="shared" si="19"/>
        <v>9636.4134881568752</v>
      </c>
      <c r="T51" s="26">
        <f t="shared" si="20"/>
        <v>12290.994319358451</v>
      </c>
      <c r="U51" s="26">
        <f t="shared" si="21"/>
        <v>15678.932109348585</v>
      </c>
      <c r="V51" s="26">
        <f t="shared" si="22"/>
        <v>19998.069377829204</v>
      </c>
    </row>
    <row r="52" spans="2:22" ht="15.75" x14ac:dyDescent="0.25">
      <c r="B52" s="46">
        <f t="shared" si="23"/>
        <v>60</v>
      </c>
      <c r="C52" s="26">
        <f t="shared" si="14"/>
        <v>6131.7176321898578</v>
      </c>
      <c r="D52" s="26">
        <f t="shared" si="15"/>
        <v>8302.2359737984207</v>
      </c>
      <c r="E52" s="26">
        <f t="shared" si="16"/>
        <v>11242.944743821075</v>
      </c>
      <c r="F52" s="26">
        <f t="shared" si="17"/>
        <v>15222.746039961328</v>
      </c>
      <c r="R52" s="46">
        <f t="shared" si="18"/>
        <v>60</v>
      </c>
      <c r="S52" s="26">
        <f t="shared" si="19"/>
        <v>6266.2199142083618</v>
      </c>
      <c r="T52" s="26">
        <f t="shared" si="20"/>
        <v>8931.1948925490378</v>
      </c>
      <c r="U52" s="26">
        <f t="shared" si="21"/>
        <v>12732.033867304428</v>
      </c>
      <c r="V52" s="26">
        <f t="shared" si="22"/>
        <v>18146.869628624645</v>
      </c>
    </row>
    <row r="53" spans="2:22" ht="15.75" x14ac:dyDescent="0.25">
      <c r="B53" s="46">
        <f t="shared" si="23"/>
        <v>65</v>
      </c>
      <c r="C53" s="26">
        <f t="shared" si="14"/>
        <v>3695.9691191161837</v>
      </c>
      <c r="D53" s="26">
        <f t="shared" si="15"/>
        <v>5495.115743420045</v>
      </c>
      <c r="E53" s="26">
        <f t="shared" si="16"/>
        <v>8171.8368221910941</v>
      </c>
      <c r="F53" s="26">
        <f t="shared" si="17"/>
        <v>12149.773909642428</v>
      </c>
      <c r="R53" s="46">
        <f t="shared" si="18"/>
        <v>65</v>
      </c>
      <c r="S53" s="26">
        <f t="shared" si="19"/>
        <v>3961.1943644689873</v>
      </c>
      <c r="T53" s="26">
        <f t="shared" si="20"/>
        <v>6012.5145464500938</v>
      </c>
      <c r="U53" s="26">
        <f t="shared" si="21"/>
        <v>9128.2048435385932</v>
      </c>
      <c r="V53" s="26">
        <f t="shared" si="22"/>
        <v>13855.281855655507</v>
      </c>
    </row>
    <row r="54" spans="2:22" ht="15.75" x14ac:dyDescent="0.25">
      <c r="B54" s="46">
        <f t="shared" si="23"/>
        <v>70</v>
      </c>
      <c r="C54" s="26">
        <f t="shared" si="14"/>
        <v>2154.5342188944419</v>
      </c>
      <c r="D54" s="26">
        <f t="shared" si="15"/>
        <v>3306.099652826797</v>
      </c>
      <c r="E54" s="26">
        <f t="shared" si="16"/>
        <v>5074.3489051020197</v>
      </c>
      <c r="F54" s="26">
        <f t="shared" si="17"/>
        <v>7786.5104236256993</v>
      </c>
      <c r="R54" s="46">
        <f t="shared" si="18"/>
        <v>70</v>
      </c>
      <c r="S54" s="26">
        <f t="shared" si="19"/>
        <v>2557.5248384308625</v>
      </c>
      <c r="T54" s="26">
        <f t="shared" si="20"/>
        <v>3745.1728312897649</v>
      </c>
      <c r="U54" s="26">
        <f t="shared" si="21"/>
        <v>5485.4793777911009</v>
      </c>
      <c r="V54" s="26">
        <f t="shared" si="22"/>
        <v>8032.7932787186801</v>
      </c>
    </row>
    <row r="55" spans="2:22" ht="15.75" x14ac:dyDescent="0.25">
      <c r="B55" s="46">
        <f t="shared" si="23"/>
        <v>75</v>
      </c>
      <c r="C55" s="26">
        <f t="shared" si="14"/>
        <v>1283.5939759622152</v>
      </c>
      <c r="D55" s="26">
        <f t="shared" si="15"/>
        <v>1856.2879297003117</v>
      </c>
      <c r="E55" s="26">
        <f t="shared" si="16"/>
        <v>2685.0399611984221</v>
      </c>
      <c r="F55" s="26">
        <f t="shared" si="17"/>
        <v>3883.0092412979216</v>
      </c>
      <c r="R55" s="46">
        <f t="shared" si="18"/>
        <v>75</v>
      </c>
      <c r="S55" s="26">
        <f t="shared" si="19"/>
        <v>1698.3480137290214</v>
      </c>
      <c r="T55" s="26">
        <f t="shared" si="20"/>
        <v>2264.3387453494306</v>
      </c>
      <c r="U55" s="26">
        <f t="shared" si="21"/>
        <v>3019.4268805425254</v>
      </c>
      <c r="V55" s="26">
        <f t="shared" si="22"/>
        <v>4025.6797894738675</v>
      </c>
    </row>
    <row r="56" spans="2:22" ht="15.75" x14ac:dyDescent="0.25">
      <c r="B56" s="46">
        <f t="shared" si="23"/>
        <v>80</v>
      </c>
      <c r="C56" s="26">
        <f t="shared" si="14"/>
        <v>706.9354270883623</v>
      </c>
      <c r="D56" s="26">
        <f t="shared" si="15"/>
        <v>997.95081397472927</v>
      </c>
      <c r="E56" s="26">
        <f t="shared" si="16"/>
        <v>1409.0309275339387</v>
      </c>
      <c r="F56" s="26">
        <f t="shared" si="17"/>
        <v>1989.069308408423</v>
      </c>
      <c r="R56" s="46">
        <f t="shared" si="18"/>
        <v>80</v>
      </c>
      <c r="S56" s="26">
        <f t="shared" si="19"/>
        <v>1098.913968546439</v>
      </c>
      <c r="T56" s="26">
        <f t="shared" si="20"/>
        <v>1413.6703594572382</v>
      </c>
      <c r="U56" s="26">
        <f t="shared" si="21"/>
        <v>1818.8316984240287</v>
      </c>
      <c r="V56" s="26">
        <f t="shared" si="22"/>
        <v>2339.7904972527963</v>
      </c>
    </row>
    <row r="57" spans="2:22" ht="15.75" x14ac:dyDescent="0.25">
      <c r="B57" s="46">
        <f t="shared" si="23"/>
        <v>85</v>
      </c>
      <c r="C57" s="26">
        <f t="shared" si="14"/>
        <v>506.77963239229319</v>
      </c>
      <c r="D57" s="26">
        <f t="shared" si="15"/>
        <v>684.5035834537573</v>
      </c>
      <c r="E57" s="26">
        <f t="shared" si="16"/>
        <v>924.70626200867173</v>
      </c>
      <c r="F57" s="26">
        <f t="shared" si="17"/>
        <v>1248.9940588162649</v>
      </c>
      <c r="R57" s="46">
        <f t="shared" si="18"/>
        <v>85</v>
      </c>
      <c r="S57" s="26">
        <f t="shared" si="19"/>
        <v>883.50147951542499</v>
      </c>
      <c r="T57" s="26">
        <f t="shared" si="20"/>
        <v>1205.7388275457736</v>
      </c>
      <c r="U57" s="26">
        <f t="shared" si="21"/>
        <v>1645.7852622763319</v>
      </c>
      <c r="V57" s="26">
        <f t="shared" si="22"/>
        <v>2246.0485223154992</v>
      </c>
    </row>
    <row r="60" spans="2:22" x14ac:dyDescent="0.25">
      <c r="B60" s="72" t="s">
        <v>34</v>
      </c>
      <c r="C60" s="72"/>
      <c r="D60" s="72"/>
      <c r="E60" s="72"/>
      <c r="F60" s="72"/>
    </row>
    <row r="61" spans="2:22" x14ac:dyDescent="0.25">
      <c r="B61" s="46" t="s">
        <v>31</v>
      </c>
      <c r="C61" s="47">
        <v>2010</v>
      </c>
      <c r="D61" s="47">
        <v>2015</v>
      </c>
      <c r="E61" s="47">
        <v>2020</v>
      </c>
      <c r="F61" s="47">
        <v>2025</v>
      </c>
    </row>
    <row r="62" spans="2:22" ht="15.75" x14ac:dyDescent="0.25">
      <c r="B62" s="46">
        <f>B39</f>
        <v>0</v>
      </c>
      <c r="C62" s="26">
        <f>C39+S39</f>
        <v>7771.7399957405214</v>
      </c>
      <c r="D62" s="26">
        <f t="shared" ref="D62:F62" si="24">D39+T39</f>
        <v>6924.4026646716893</v>
      </c>
      <c r="E62" s="26">
        <f t="shared" si="24"/>
        <v>6169.0941167785786</v>
      </c>
      <c r="F62" s="26">
        <f t="shared" si="24"/>
        <v>5496.5529599662177</v>
      </c>
    </row>
    <row r="63" spans="2:22" ht="15.75" x14ac:dyDescent="0.25">
      <c r="B63" s="46">
        <f t="shared" ref="B63:B80" si="25">B40</f>
        <v>1</v>
      </c>
      <c r="C63" s="26">
        <f t="shared" ref="C63:C80" si="26">C40+S40</f>
        <v>35639.719344075849</v>
      </c>
      <c r="D63" s="26">
        <f t="shared" ref="D63:D80" si="27">D40+T40</f>
        <v>32342.783965374241</v>
      </c>
      <c r="E63" s="26">
        <f t="shared" ref="E63:E80" si="28">E40+U40</f>
        <v>29349.432231243365</v>
      </c>
      <c r="F63" s="26">
        <f t="shared" ref="F63:F80" si="29">F40+V40</f>
        <v>26634.672433367254</v>
      </c>
    </row>
    <row r="64" spans="2:22" ht="15.75" x14ac:dyDescent="0.25">
      <c r="B64" s="46">
        <f t="shared" si="25"/>
        <v>5</v>
      </c>
      <c r="C64" s="26">
        <f t="shared" si="26"/>
        <v>45858.878614405163</v>
      </c>
      <c r="D64" s="26">
        <f t="shared" si="27"/>
        <v>41788.483499591792</v>
      </c>
      <c r="E64" s="26">
        <f t="shared" si="28"/>
        <v>38078.571352381288</v>
      </c>
      <c r="F64" s="26">
        <f t="shared" si="29"/>
        <v>34700.819977319486</v>
      </c>
    </row>
    <row r="65" spans="2:6" ht="15.75" x14ac:dyDescent="0.25">
      <c r="B65" s="46">
        <f t="shared" si="25"/>
        <v>10</v>
      </c>
      <c r="C65" s="26">
        <f t="shared" si="26"/>
        <v>45233.51235904052</v>
      </c>
      <c r="D65" s="26">
        <f t="shared" si="27"/>
        <v>42800.583226091301</v>
      </c>
      <c r="E65" s="26">
        <f t="shared" si="28"/>
        <v>40498.213932833154</v>
      </c>
      <c r="F65" s="26">
        <f t="shared" si="29"/>
        <v>38321.733572790865</v>
      </c>
    </row>
    <row r="66" spans="2:6" ht="15.75" x14ac:dyDescent="0.25">
      <c r="B66" s="46">
        <f t="shared" si="25"/>
        <v>15</v>
      </c>
      <c r="C66" s="26">
        <f t="shared" si="26"/>
        <v>46704.952684267351</v>
      </c>
      <c r="D66" s="26">
        <f t="shared" si="27"/>
        <v>44350.465640196773</v>
      </c>
      <c r="E66" s="26">
        <f t="shared" si="28"/>
        <v>42116.076555834559</v>
      </c>
      <c r="F66" s="26">
        <f t="shared" si="29"/>
        <v>39997.852329649191</v>
      </c>
    </row>
    <row r="67" spans="2:6" ht="15.75" x14ac:dyDescent="0.25">
      <c r="B67" s="46">
        <f t="shared" si="25"/>
        <v>20</v>
      </c>
      <c r="C67" s="26">
        <f t="shared" si="26"/>
        <v>45944.69391579325</v>
      </c>
      <c r="D67" s="26">
        <f t="shared" si="27"/>
        <v>44313.173286626406</v>
      </c>
      <c r="E67" s="26">
        <f t="shared" si="28"/>
        <v>42740.259008850626</v>
      </c>
      <c r="F67" s="26">
        <f t="shared" si="29"/>
        <v>41225.453218746778</v>
      </c>
    </row>
    <row r="68" spans="2:6" ht="15.75" x14ac:dyDescent="0.25">
      <c r="B68" s="46">
        <f t="shared" si="25"/>
        <v>25</v>
      </c>
      <c r="C68" s="26">
        <f t="shared" si="26"/>
        <v>41317.543194626138</v>
      </c>
      <c r="D68" s="26">
        <f t="shared" si="27"/>
        <v>41750.33710354074</v>
      </c>
      <c r="E68" s="26">
        <f t="shared" si="28"/>
        <v>42190.607136392355</v>
      </c>
      <c r="F68" s="26">
        <f t="shared" si="29"/>
        <v>42638.00480775474</v>
      </c>
    </row>
    <row r="69" spans="2:6" ht="15.75" x14ac:dyDescent="0.25">
      <c r="B69" s="46">
        <f t="shared" si="25"/>
        <v>30</v>
      </c>
      <c r="C69" s="26">
        <f t="shared" si="26"/>
        <v>38529.758872485429</v>
      </c>
      <c r="D69" s="26">
        <f t="shared" si="27"/>
        <v>39368.587530901197</v>
      </c>
      <c r="E69" s="26">
        <f t="shared" si="28"/>
        <v>40233.086392966346</v>
      </c>
      <c r="F69" s="26">
        <f t="shared" si="29"/>
        <v>41123.169543549142</v>
      </c>
    </row>
    <row r="70" spans="2:6" ht="15.75" x14ac:dyDescent="0.25">
      <c r="B70" s="46">
        <f t="shared" si="25"/>
        <v>35</v>
      </c>
      <c r="C70" s="26">
        <f t="shared" si="26"/>
        <v>38418.066707956503</v>
      </c>
      <c r="D70" s="26">
        <f t="shared" si="27"/>
        <v>37981.952572309689</v>
      </c>
      <c r="E70" s="26">
        <f t="shared" si="28"/>
        <v>37553.535203137821</v>
      </c>
      <c r="F70" s="26">
        <f t="shared" si="29"/>
        <v>37133.129235987391</v>
      </c>
    </row>
    <row r="71" spans="2:6" ht="15.75" x14ac:dyDescent="0.25">
      <c r="B71" s="46">
        <f t="shared" si="25"/>
        <v>40</v>
      </c>
      <c r="C71" s="26">
        <f t="shared" si="26"/>
        <v>35903.872512672497</v>
      </c>
      <c r="D71" s="26">
        <f t="shared" si="27"/>
        <v>35886.685234029705</v>
      </c>
      <c r="E71" s="26">
        <f t="shared" si="28"/>
        <v>35869.649553642557</v>
      </c>
      <c r="F71" s="26">
        <f t="shared" si="29"/>
        <v>35852.783860276009</v>
      </c>
    </row>
    <row r="72" spans="2:6" ht="15.75" x14ac:dyDescent="0.25">
      <c r="B72" s="46">
        <f t="shared" si="25"/>
        <v>45</v>
      </c>
      <c r="C72" s="26">
        <f t="shared" si="26"/>
        <v>31065.081346791441</v>
      </c>
      <c r="D72" s="26">
        <f t="shared" si="27"/>
        <v>33412.620688797993</v>
      </c>
      <c r="E72" s="26">
        <f t="shared" si="28"/>
        <v>35942.090798964811</v>
      </c>
      <c r="F72" s="26">
        <f t="shared" si="29"/>
        <v>38664.833562843094</v>
      </c>
    </row>
    <row r="73" spans="2:6" ht="15.75" x14ac:dyDescent="0.25">
      <c r="B73" s="46">
        <f t="shared" si="25"/>
        <v>50</v>
      </c>
      <c r="C73" s="26">
        <f t="shared" si="26"/>
        <v>25527.923302960233</v>
      </c>
      <c r="D73" s="26">
        <f t="shared" si="27"/>
        <v>29536.533789633228</v>
      </c>
      <c r="E73" s="26">
        <f t="shared" si="28"/>
        <v>34182.75305819964</v>
      </c>
      <c r="F73" s="26">
        <f t="shared" si="29"/>
        <v>39562.930051573421</v>
      </c>
    </row>
    <row r="74" spans="2:6" ht="15.75" x14ac:dyDescent="0.25">
      <c r="B74" s="46">
        <f t="shared" si="25"/>
        <v>55</v>
      </c>
      <c r="C74" s="26">
        <f t="shared" si="26"/>
        <v>18785.489969432649</v>
      </c>
      <c r="D74" s="26">
        <f t="shared" si="27"/>
        <v>23529.51174018615</v>
      </c>
      <c r="E74" s="26">
        <f t="shared" si="28"/>
        <v>29485.626447844767</v>
      </c>
      <c r="F74" s="26">
        <f t="shared" si="29"/>
        <v>36957.898620134933</v>
      </c>
    </row>
    <row r="75" spans="2:6" ht="15.75" x14ac:dyDescent="0.25">
      <c r="B75" s="46">
        <f t="shared" si="25"/>
        <v>60</v>
      </c>
      <c r="C75" s="26">
        <f t="shared" si="26"/>
        <v>12397.93754639822</v>
      </c>
      <c r="D75" s="26">
        <f t="shared" si="27"/>
        <v>17233.430866347459</v>
      </c>
      <c r="E75" s="26">
        <f t="shared" si="28"/>
        <v>23974.978611125502</v>
      </c>
      <c r="F75" s="26">
        <f t="shared" si="29"/>
        <v>33369.615668585975</v>
      </c>
    </row>
    <row r="76" spans="2:6" ht="15.75" x14ac:dyDescent="0.25">
      <c r="B76" s="46">
        <f t="shared" si="25"/>
        <v>65</v>
      </c>
      <c r="C76" s="26">
        <f t="shared" si="26"/>
        <v>7657.163483585171</v>
      </c>
      <c r="D76" s="26">
        <f t="shared" si="27"/>
        <v>11507.63028987014</v>
      </c>
      <c r="E76" s="26">
        <f t="shared" si="28"/>
        <v>17300.041665729688</v>
      </c>
      <c r="F76" s="26">
        <f t="shared" si="29"/>
        <v>26005.055765297933</v>
      </c>
    </row>
    <row r="77" spans="2:6" ht="15.75" x14ac:dyDescent="0.25">
      <c r="B77" s="46">
        <f t="shared" si="25"/>
        <v>70</v>
      </c>
      <c r="C77" s="26">
        <f t="shared" si="26"/>
        <v>4712.0590573253048</v>
      </c>
      <c r="D77" s="26">
        <f t="shared" si="27"/>
        <v>7051.2724841165618</v>
      </c>
      <c r="E77" s="26">
        <f t="shared" si="28"/>
        <v>10559.828282893121</v>
      </c>
      <c r="F77" s="26">
        <f t="shared" si="29"/>
        <v>15819.303702344379</v>
      </c>
    </row>
    <row r="78" spans="2:6" ht="15.75" x14ac:dyDescent="0.25">
      <c r="B78" s="46">
        <f t="shared" si="25"/>
        <v>75</v>
      </c>
      <c r="C78" s="26">
        <f t="shared" si="26"/>
        <v>2981.9419896912368</v>
      </c>
      <c r="D78" s="26">
        <f t="shared" si="27"/>
        <v>4120.6266750497425</v>
      </c>
      <c r="E78" s="26">
        <f t="shared" si="28"/>
        <v>5704.4668417409475</v>
      </c>
      <c r="F78" s="26">
        <f t="shared" si="29"/>
        <v>7908.6890307717895</v>
      </c>
    </row>
    <row r="79" spans="2:6" ht="15.75" x14ac:dyDescent="0.25">
      <c r="B79" s="46">
        <f t="shared" si="25"/>
        <v>80</v>
      </c>
      <c r="C79" s="26">
        <f t="shared" si="26"/>
        <v>1805.8493956348013</v>
      </c>
      <c r="D79" s="26">
        <f t="shared" si="27"/>
        <v>2411.6211734319677</v>
      </c>
      <c r="E79" s="26">
        <f t="shared" si="28"/>
        <v>3227.8626259579673</v>
      </c>
      <c r="F79" s="26">
        <f t="shared" si="29"/>
        <v>4328.8598056612191</v>
      </c>
    </row>
    <row r="80" spans="2:6" ht="15.75" x14ac:dyDescent="0.25">
      <c r="B80" s="46">
        <f t="shared" si="25"/>
        <v>85</v>
      </c>
      <c r="C80" s="26">
        <f t="shared" si="26"/>
        <v>1390.2811119077182</v>
      </c>
      <c r="D80" s="26">
        <f t="shared" si="27"/>
        <v>1890.2424109995309</v>
      </c>
      <c r="E80" s="26">
        <f t="shared" si="28"/>
        <v>2570.4915242850038</v>
      </c>
      <c r="F80" s="26">
        <f t="shared" si="29"/>
        <v>3495.0425811317641</v>
      </c>
    </row>
  </sheetData>
  <mergeCells count="21">
    <mergeCell ref="A1:B1"/>
    <mergeCell ref="H3:I3"/>
    <mergeCell ref="B37:F37"/>
    <mergeCell ref="R37:V37"/>
    <mergeCell ref="B60:F60"/>
    <mergeCell ref="V3:X3"/>
    <mergeCell ref="B28:E28"/>
    <mergeCell ref="B3:C3"/>
    <mergeCell ref="B24:C24"/>
    <mergeCell ref="B25:C25"/>
    <mergeCell ref="E3:F3"/>
    <mergeCell ref="E25:F25"/>
    <mergeCell ref="H25:I25"/>
    <mergeCell ref="Z3:AB3"/>
    <mergeCell ref="N30:P30"/>
    <mergeCell ref="R30:T30"/>
    <mergeCell ref="R31:T31"/>
    <mergeCell ref="K3:L3"/>
    <mergeCell ref="N3:P3"/>
    <mergeCell ref="R3:T3"/>
    <mergeCell ref="K25:L2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tabSelected="1" topLeftCell="A37" zoomScale="80" zoomScaleNormal="80" workbookViewId="0">
      <selection activeCell="B29" sqref="B29"/>
    </sheetView>
  </sheetViews>
  <sheetFormatPr baseColWidth="10" defaultRowHeight="15" x14ac:dyDescent="0.25"/>
  <cols>
    <col min="1" max="1" width="11.42578125" style="4"/>
    <col min="2" max="2" width="13" style="4" bestFit="1" customWidth="1"/>
    <col min="3" max="4" width="11.42578125" style="4"/>
    <col min="5" max="5" width="15.42578125" style="4" bestFit="1" customWidth="1"/>
    <col min="6" max="6" width="13.5703125" style="4" customWidth="1"/>
    <col min="7" max="7" width="11.42578125" style="4"/>
    <col min="8" max="8" width="13" style="4" customWidth="1"/>
    <col min="9" max="9" width="12.7109375" style="4" customWidth="1"/>
    <col min="10" max="10" width="11.42578125" style="4"/>
    <col min="11" max="12" width="12.85546875" style="4" customWidth="1"/>
    <col min="13" max="13" width="11.42578125" style="4"/>
    <col min="14" max="14" width="13.42578125" style="4" customWidth="1"/>
    <col min="15" max="15" width="13.7109375" style="4" customWidth="1"/>
    <col min="16" max="17" width="11.42578125" style="4"/>
    <col min="18" max="18" width="12.7109375" style="4" customWidth="1"/>
    <col min="19" max="19" width="13.7109375" style="4" customWidth="1"/>
    <col min="20" max="21" width="11.42578125" style="4"/>
    <col min="22" max="22" width="13.42578125" style="4" customWidth="1"/>
    <col min="23" max="23" width="12.85546875" style="4" customWidth="1"/>
    <col min="24" max="25" width="11.42578125" style="4"/>
    <col min="26" max="26" width="13.42578125" style="4" customWidth="1"/>
    <col min="27" max="27" width="12.85546875" style="4" customWidth="1"/>
    <col min="28" max="16384" width="11.42578125" style="4"/>
  </cols>
  <sheetData>
    <row r="1" spans="1:28" x14ac:dyDescent="0.25">
      <c r="A1" s="100" t="s">
        <v>70</v>
      </c>
      <c r="B1" s="100"/>
    </row>
    <row r="3" spans="1:28" x14ac:dyDescent="0.25">
      <c r="B3" s="72" t="s">
        <v>31</v>
      </c>
      <c r="C3" s="72"/>
      <c r="E3" s="72" t="s">
        <v>36</v>
      </c>
      <c r="F3" s="72"/>
      <c r="H3" s="72" t="s">
        <v>61</v>
      </c>
      <c r="I3" s="72"/>
      <c r="K3" s="75" t="s">
        <v>63</v>
      </c>
      <c r="L3" s="75"/>
      <c r="N3" s="87" t="s">
        <v>54</v>
      </c>
      <c r="O3" s="87"/>
      <c r="P3" s="87"/>
      <c r="R3" s="87" t="s">
        <v>55</v>
      </c>
      <c r="S3" s="87"/>
      <c r="T3" s="87"/>
      <c r="V3" s="73" t="s">
        <v>57</v>
      </c>
      <c r="W3" s="73"/>
      <c r="X3" s="73"/>
      <c r="Z3" s="73" t="s">
        <v>56</v>
      </c>
      <c r="AA3" s="73"/>
      <c r="AB3" s="73"/>
    </row>
    <row r="4" spans="1:28" ht="31.5" x14ac:dyDescent="0.25">
      <c r="B4" s="9" t="s">
        <v>32</v>
      </c>
      <c r="C4" s="9" t="s">
        <v>33</v>
      </c>
      <c r="E4" s="13" t="s">
        <v>6</v>
      </c>
      <c r="F4" s="14" t="s">
        <v>7</v>
      </c>
      <c r="H4" s="13" t="s">
        <v>6</v>
      </c>
      <c r="I4" s="14" t="s">
        <v>7</v>
      </c>
      <c r="K4" s="13" t="s">
        <v>6</v>
      </c>
      <c r="L4" s="14" t="s">
        <v>7</v>
      </c>
      <c r="N4" s="13" t="s">
        <v>6</v>
      </c>
      <c r="O4" s="14" t="s">
        <v>7</v>
      </c>
      <c r="P4" s="52" t="s">
        <v>53</v>
      </c>
      <c r="R4" s="13" t="s">
        <v>6</v>
      </c>
      <c r="S4" s="14" t="s">
        <v>7</v>
      </c>
      <c r="T4" s="52" t="s">
        <v>53</v>
      </c>
      <c r="V4" s="13" t="s">
        <v>6</v>
      </c>
      <c r="W4" s="14" t="s">
        <v>7</v>
      </c>
      <c r="X4" s="52" t="s">
        <v>53</v>
      </c>
      <c r="Z4" s="13" t="s">
        <v>6</v>
      </c>
      <c r="AA4" s="14" t="s">
        <v>7</v>
      </c>
      <c r="AB4" s="52" t="s">
        <v>53</v>
      </c>
    </row>
    <row r="5" spans="1:28" ht="15.75" x14ac:dyDescent="0.25">
      <c r="B5" s="22">
        <v>0</v>
      </c>
      <c r="C5" s="22">
        <v>0</v>
      </c>
      <c r="E5" s="22">
        <f>Gráficas!C7</f>
        <v>3911.4134334406926</v>
      </c>
      <c r="F5" s="22">
        <f>Gráficas!D7</f>
        <v>3868.9299915829729</v>
      </c>
      <c r="H5" s="28">
        <f>Gráficas!O7</f>
        <v>3136.9322379643954</v>
      </c>
      <c r="I5" s="28">
        <f>Gráficas!P7</f>
        <v>3074.032299038287</v>
      </c>
      <c r="K5" s="22">
        <f>(LN(H5/E5))/$I$30</f>
        <v>-2.2600959021804853E-2</v>
      </c>
      <c r="L5" s="22">
        <f>(LN(I5/F5))/$I$30</f>
        <v>-2.3557052741880528E-2</v>
      </c>
      <c r="N5" s="23">
        <f>E5*EXP(K5*$I$31)</f>
        <v>3907.1772915946071</v>
      </c>
      <c r="O5" s="23">
        <f>F5*EXP(L5*$I$31)</f>
        <v>3864.5627041459138</v>
      </c>
      <c r="P5" s="23">
        <f>SUM(N5,O5)</f>
        <v>7771.7399957405214</v>
      </c>
      <c r="R5" s="26">
        <f>E5*EXP(K5*$I$32)</f>
        <v>3489.4651678427285</v>
      </c>
      <c r="S5" s="26">
        <f>F5*EXP(L5*$I$32)</f>
        <v>3434.9374968289617</v>
      </c>
      <c r="T5" s="26">
        <f>SUM(R5,S5)</f>
        <v>6924.4026646716902</v>
      </c>
      <c r="V5" s="23">
        <f>H5*EXP(K5*$I$33)</f>
        <v>3116.2172346680632</v>
      </c>
      <c r="W5" s="23">
        <f>I5*EXP(L5*$I$33)</f>
        <v>3052.8768821105159</v>
      </c>
      <c r="X5" s="23">
        <f>SUM(V5,W5)</f>
        <v>6169.0941167785786</v>
      </c>
      <c r="Z5" s="23">
        <f>H5*EXP(K5*$I$34)</f>
        <v>2783.065800264083</v>
      </c>
      <c r="AA5" s="23">
        <f>I5*EXP(L5*$I$34)</f>
        <v>2713.4871597021356</v>
      </c>
      <c r="AB5" s="23">
        <f>SUM(Z5,AA5)</f>
        <v>5496.5529599662186</v>
      </c>
    </row>
    <row r="6" spans="1:28" ht="15.75" x14ac:dyDescent="0.25">
      <c r="B6" s="22">
        <v>1</v>
      </c>
      <c r="C6" s="22">
        <v>4</v>
      </c>
      <c r="E6" s="22">
        <f>Gráficas!C8</f>
        <v>18199.714182112919</v>
      </c>
      <c r="F6" s="22">
        <f>Gráficas!D8</f>
        <v>17473.176994549362</v>
      </c>
      <c r="H6" s="28">
        <f>Gráficas!O8</f>
        <v>14993.235296222807</v>
      </c>
      <c r="I6" s="28">
        <f>Gráficas!P8</f>
        <v>14523.601819089095</v>
      </c>
      <c r="K6" s="22">
        <f>(LN(H6/E6))/$I$30</f>
        <v>-1.9851121439981217E-2</v>
      </c>
      <c r="L6" s="22">
        <f>(LN(I6/F6))/$I$30</f>
        <v>-1.8937996997109734E-2</v>
      </c>
      <c r="N6" s="23">
        <f t="shared" ref="N6:O23" si="0">E6*EXP(K6*$I$31)</f>
        <v>18182.400551759696</v>
      </c>
      <c r="O6" s="23">
        <f t="shared" si="0"/>
        <v>17457.318792316153</v>
      </c>
      <c r="P6" s="23">
        <f t="shared" ref="P6:P22" si="1">SUM(N6,O6)</f>
        <v>35639.719344075849</v>
      </c>
      <c r="R6" s="26">
        <f t="shared" ref="R6:S23" si="2">E6*EXP(K6*$I$32)</f>
        <v>16463.472348085623</v>
      </c>
      <c r="S6" s="26">
        <f t="shared" si="2"/>
        <v>15879.31161728862</v>
      </c>
      <c r="T6" s="26">
        <f>SUM(R6,S6)</f>
        <v>32342.783965374241</v>
      </c>
      <c r="V6" s="23">
        <f t="shared" ref="V6:W23" si="3">H6*EXP(K6*$I$33)</f>
        <v>14906.23749653565</v>
      </c>
      <c r="W6" s="23">
        <f t="shared" si="3"/>
        <v>14443.194734707715</v>
      </c>
      <c r="X6" s="23">
        <f t="shared" ref="X6:X22" si="4">SUM(V6,W6)</f>
        <v>29349.432231243365</v>
      </c>
      <c r="Z6" s="23">
        <f t="shared" ref="Z6:AA23" si="5">H6*EXP(K6*$I$34)</f>
        <v>13497.031271509475</v>
      </c>
      <c r="AA6" s="23">
        <f t="shared" si="5"/>
        <v>13137.64116185778</v>
      </c>
      <c r="AB6" s="23">
        <f t="shared" ref="AB6:AB22" si="6">SUM(Z6,AA6)</f>
        <v>26634.672433367254</v>
      </c>
    </row>
    <row r="7" spans="1:28" ht="15.75" x14ac:dyDescent="0.25">
      <c r="B7" s="22">
        <v>5</v>
      </c>
      <c r="C7" s="22">
        <v>9</v>
      </c>
      <c r="E7" s="22">
        <f>Gráficas!C9</f>
        <v>23487.798733016229</v>
      </c>
      <c r="F7" s="22">
        <f>Gráficas!D9</f>
        <v>22411.955536851056</v>
      </c>
      <c r="H7" s="28">
        <f>Gráficas!O9</f>
        <v>19387.942278404505</v>
      </c>
      <c r="I7" s="28">
        <f>Gráficas!P9</f>
        <v>18898.494140506864</v>
      </c>
      <c r="K7" s="22">
        <f t="shared" ref="K7:K23" si="7">(LN(H7/E7))/$I$30</f>
        <v>-1.9648619636477162E-2</v>
      </c>
      <c r="L7" s="22">
        <f t="shared" ref="L7:L23" si="8">(LN(I7/F7))/$I$30</f>
        <v>-1.7465129854307364E-2</v>
      </c>
      <c r="N7" s="23">
        <f t="shared" si="0"/>
        <v>23465.682304423815</v>
      </c>
      <c r="O7" s="23">
        <f t="shared" si="0"/>
        <v>22393.196309981347</v>
      </c>
      <c r="P7" s="23">
        <f t="shared" si="1"/>
        <v>45858.878614405163</v>
      </c>
      <c r="R7" s="26">
        <f t="shared" si="2"/>
        <v>21268.818848699771</v>
      </c>
      <c r="S7" s="26">
        <f t="shared" si="2"/>
        <v>20519.664650892024</v>
      </c>
      <c r="T7" s="26">
        <f t="shared" ref="T7:T22" si="9">SUM(R7,S7)</f>
        <v>41788.483499591792</v>
      </c>
      <c r="V7" s="23">
        <f t="shared" si="3"/>
        <v>19276.588615423214</v>
      </c>
      <c r="W7" s="23">
        <f t="shared" si="3"/>
        <v>18801.982736958074</v>
      </c>
      <c r="X7" s="23">
        <f t="shared" si="4"/>
        <v>38078.571352381288</v>
      </c>
      <c r="Z7" s="23">
        <f t="shared" si="5"/>
        <v>17471.909231680522</v>
      </c>
      <c r="AA7" s="23">
        <f t="shared" si="5"/>
        <v>17228.910745638972</v>
      </c>
      <c r="AB7" s="23">
        <f t="shared" si="6"/>
        <v>34700.819977319494</v>
      </c>
    </row>
    <row r="8" spans="1:28" ht="15.75" x14ac:dyDescent="0.25">
      <c r="B8" s="22">
        <v>10</v>
      </c>
      <c r="C8" s="22">
        <v>14</v>
      </c>
      <c r="E8" s="22">
        <f>Gráficas!C10</f>
        <v>22933.736903568461</v>
      </c>
      <c r="F8" s="22">
        <f>Gráficas!D10</f>
        <v>22323.753991448139</v>
      </c>
      <c r="H8" s="28">
        <f>Gráficas!O10</f>
        <v>20778.298688181705</v>
      </c>
      <c r="I8" s="28">
        <f>Gráficas!P10</f>
        <v>19851.249024205375</v>
      </c>
      <c r="K8" s="22">
        <f t="shared" si="7"/>
        <v>-1.0109577528424304E-2</v>
      </c>
      <c r="L8" s="22">
        <f t="shared" si="8"/>
        <v>-1.2023376007442689E-2</v>
      </c>
      <c r="N8" s="23">
        <f t="shared" si="0"/>
        <v>22922.623482507068</v>
      </c>
      <c r="O8" s="23">
        <f t="shared" si="0"/>
        <v>22310.888876533452</v>
      </c>
      <c r="P8" s="23">
        <f t="shared" si="1"/>
        <v>45233.51235904052</v>
      </c>
      <c r="R8" s="26">
        <f t="shared" si="2"/>
        <v>21792.127108788856</v>
      </c>
      <c r="S8" s="26">
        <f t="shared" si="2"/>
        <v>21008.456117302449</v>
      </c>
      <c r="T8" s="26">
        <f t="shared" si="9"/>
        <v>42800.583226091301</v>
      </c>
      <c r="V8" s="23">
        <f t="shared" si="3"/>
        <v>20716.810666497746</v>
      </c>
      <c r="W8" s="23">
        <f t="shared" si="3"/>
        <v>19781.403266335408</v>
      </c>
      <c r="X8" s="23">
        <f t="shared" si="4"/>
        <v>40498.213932833154</v>
      </c>
      <c r="Z8" s="23">
        <f t="shared" si="5"/>
        <v>19695.100418045811</v>
      </c>
      <c r="AA8" s="23">
        <f t="shared" si="5"/>
        <v>18626.633154745057</v>
      </c>
      <c r="AB8" s="23">
        <f t="shared" si="6"/>
        <v>38321.733572790865</v>
      </c>
    </row>
    <row r="9" spans="1:28" ht="15.75" x14ac:dyDescent="0.25">
      <c r="B9" s="22">
        <v>15</v>
      </c>
      <c r="C9" s="22">
        <v>19</v>
      </c>
      <c r="E9" s="22">
        <f>Gráficas!C11</f>
        <v>23506.544946995709</v>
      </c>
      <c r="F9" s="22">
        <f>Gráficas!D11</f>
        <v>23221.58095361646</v>
      </c>
      <c r="H9" s="28">
        <f>Gráficas!O11</f>
        <v>21574.163912670039</v>
      </c>
      <c r="I9" s="28">
        <f>Gráficas!P11</f>
        <v>20669.540011359859</v>
      </c>
      <c r="K9" s="22">
        <f t="shared" si="7"/>
        <v>-8.7864679683280836E-3</v>
      </c>
      <c r="L9" s="22">
        <f t="shared" si="8"/>
        <v>-1.1924692915827885E-2</v>
      </c>
      <c r="N9" s="23">
        <f t="shared" si="0"/>
        <v>23496.644453558081</v>
      </c>
      <c r="O9" s="23">
        <f t="shared" si="0"/>
        <v>23208.308230709263</v>
      </c>
      <c r="P9" s="23">
        <f t="shared" si="1"/>
        <v>46704.952684267344</v>
      </c>
      <c r="R9" s="26">
        <f t="shared" si="2"/>
        <v>22486.186995708969</v>
      </c>
      <c r="S9" s="26">
        <f t="shared" si="2"/>
        <v>21864.278644487797</v>
      </c>
      <c r="T9" s="26">
        <f t="shared" si="9"/>
        <v>44350.465640196766</v>
      </c>
      <c r="V9" s="23">
        <f t="shared" si="3"/>
        <v>21518.665569446599</v>
      </c>
      <c r="W9" s="23">
        <f t="shared" si="3"/>
        <v>20597.41098638796</v>
      </c>
      <c r="X9" s="23">
        <f t="shared" si="4"/>
        <v>42116.076555834559</v>
      </c>
      <c r="Z9" s="23">
        <f t="shared" si="5"/>
        <v>20593.269768757465</v>
      </c>
      <c r="AA9" s="23">
        <f t="shared" si="5"/>
        <v>19404.582560891715</v>
      </c>
      <c r="AB9" s="23">
        <f t="shared" si="6"/>
        <v>39997.852329649177</v>
      </c>
    </row>
    <row r="10" spans="1:28" ht="15.75" x14ac:dyDescent="0.25">
      <c r="B10" s="22">
        <v>20</v>
      </c>
      <c r="C10" s="22">
        <v>24</v>
      </c>
      <c r="E10" s="22">
        <f>Gráficas!C12</f>
        <v>22931.449229998077</v>
      </c>
      <c r="F10" s="22">
        <f>Gráficas!D12</f>
        <v>23029.175854573386</v>
      </c>
      <c r="H10" s="28">
        <f>Gráficas!O12</f>
        <v>21618.69133997129</v>
      </c>
      <c r="I10" s="28">
        <f>Gráficas!P12</f>
        <v>21212.086198578225</v>
      </c>
      <c r="K10" s="22">
        <f t="shared" si="7"/>
        <v>-6.0381987298500275E-3</v>
      </c>
      <c r="L10" s="22">
        <f t="shared" si="8"/>
        <v>-8.4185894908540906E-3</v>
      </c>
      <c r="N10" s="23">
        <f t="shared" si="0"/>
        <v>22924.811474886879</v>
      </c>
      <c r="O10" s="23">
        <f t="shared" si="0"/>
        <v>23019.882440906371</v>
      </c>
      <c r="P10" s="23">
        <f t="shared" si="1"/>
        <v>45944.69391579325</v>
      </c>
      <c r="R10" s="26">
        <f t="shared" si="2"/>
        <v>22242.66425596298</v>
      </c>
      <c r="S10" s="26">
        <f t="shared" si="2"/>
        <v>22070.509030663423</v>
      </c>
      <c r="T10" s="26">
        <f t="shared" si="9"/>
        <v>44313.173286626406</v>
      </c>
      <c r="V10" s="23">
        <f t="shared" si="3"/>
        <v>21580.457897704706</v>
      </c>
      <c r="W10" s="23">
        <f t="shared" si="3"/>
        <v>21159.801111145924</v>
      </c>
      <c r="X10" s="23">
        <f t="shared" si="4"/>
        <v>42740.259008850626</v>
      </c>
      <c r="Z10" s="23">
        <f t="shared" si="5"/>
        <v>20938.313060258617</v>
      </c>
      <c r="AA10" s="23">
        <f t="shared" si="5"/>
        <v>20287.140158488161</v>
      </c>
      <c r="AB10" s="23">
        <f t="shared" si="6"/>
        <v>41225.453218746778</v>
      </c>
    </row>
    <row r="11" spans="1:28" ht="15.75" x14ac:dyDescent="0.25">
      <c r="B11" s="22">
        <v>25</v>
      </c>
      <c r="C11" s="22">
        <v>29</v>
      </c>
      <c r="E11" s="22">
        <f>Gráficas!C13</f>
        <v>20139.915555745152</v>
      </c>
      <c r="F11" s="22">
        <f>Gráficas!D13</f>
        <v>21173.51439934707</v>
      </c>
      <c r="H11" s="28">
        <f>Gráficas!O13</f>
        <v>20883.926250979195</v>
      </c>
      <c r="I11" s="28">
        <f>Gráficas!P13</f>
        <v>21280.69405648929</v>
      </c>
      <c r="K11" s="22">
        <f t="shared" si="7"/>
        <v>3.7156651499442445E-3</v>
      </c>
      <c r="L11" s="22">
        <f t="shared" si="8"/>
        <v>5.1717632416710543E-4</v>
      </c>
      <c r="N11" s="23">
        <f t="shared" si="0"/>
        <v>20143.50376765725</v>
      </c>
      <c r="O11" s="23">
        <f t="shared" si="0"/>
        <v>21174.039426968884</v>
      </c>
      <c r="P11" s="23">
        <f t="shared" si="1"/>
        <v>41317.543194626138</v>
      </c>
      <c r="R11" s="26">
        <f t="shared" si="2"/>
        <v>20521.443183353469</v>
      </c>
      <c r="S11" s="26">
        <f t="shared" si="2"/>
        <v>21228.893920187271</v>
      </c>
      <c r="T11" s="26">
        <f t="shared" si="9"/>
        <v>41750.33710354074</v>
      </c>
      <c r="V11" s="23">
        <f t="shared" si="3"/>
        <v>20906.686456654719</v>
      </c>
      <c r="W11" s="23">
        <f t="shared" si="3"/>
        <v>21283.920679737646</v>
      </c>
      <c r="X11" s="23">
        <f t="shared" si="4"/>
        <v>42190.607136392369</v>
      </c>
      <c r="Z11" s="23">
        <f t="shared" si="5"/>
        <v>21298.944971097415</v>
      </c>
      <c r="AA11" s="23">
        <f t="shared" si="5"/>
        <v>21339.059836657332</v>
      </c>
      <c r="AB11" s="23">
        <f t="shared" si="6"/>
        <v>42638.004807754747</v>
      </c>
    </row>
    <row r="12" spans="1:28" ht="15.75" x14ac:dyDescent="0.25">
      <c r="B12" s="22">
        <v>30</v>
      </c>
      <c r="C12" s="22">
        <v>34</v>
      </c>
      <c r="E12" s="22">
        <f>Gráficas!C14</f>
        <v>18225.323416803534</v>
      </c>
      <c r="F12" s="22">
        <f>Gráficas!D14</f>
        <v>20296.515447900238</v>
      </c>
      <c r="H12" s="28">
        <f>Gráficas!O14</f>
        <v>19524.714024904268</v>
      </c>
      <c r="I12" s="28">
        <f>Gráficas!P14</f>
        <v>20657.031741913896</v>
      </c>
      <c r="K12" s="22">
        <f t="shared" si="7"/>
        <v>7.0540744505043322E-3</v>
      </c>
      <c r="L12" s="22">
        <f t="shared" si="8"/>
        <v>1.803394287389991E-3</v>
      </c>
      <c r="N12" s="23">
        <f t="shared" si="0"/>
        <v>18231.488428576609</v>
      </c>
      <c r="O12" s="23">
        <f t="shared" si="0"/>
        <v>20298.270443908823</v>
      </c>
      <c r="P12" s="23">
        <f t="shared" si="1"/>
        <v>38529.758872485429</v>
      </c>
      <c r="R12" s="26">
        <f t="shared" si="2"/>
        <v>18886.359294595786</v>
      </c>
      <c r="S12" s="26">
        <f t="shared" si="2"/>
        <v>20482.228236305418</v>
      </c>
      <c r="T12" s="26">
        <f t="shared" si="9"/>
        <v>39368.587530901204</v>
      </c>
      <c r="V12" s="23">
        <f t="shared" si="3"/>
        <v>19565.13108791555</v>
      </c>
      <c r="W12" s="23">
        <f t="shared" si="3"/>
        <v>20667.9553050508</v>
      </c>
      <c r="X12" s="23">
        <f t="shared" si="4"/>
        <v>40233.086392966346</v>
      </c>
      <c r="Z12" s="23">
        <f t="shared" si="5"/>
        <v>20267.906091147819</v>
      </c>
      <c r="AA12" s="23">
        <f t="shared" si="5"/>
        <v>20855.263452401334</v>
      </c>
      <c r="AB12" s="23">
        <f t="shared" si="6"/>
        <v>41123.169543549157</v>
      </c>
    </row>
    <row r="13" spans="1:28" ht="15.75" x14ac:dyDescent="0.25">
      <c r="B13" s="22">
        <v>35</v>
      </c>
      <c r="C13" s="22">
        <v>39</v>
      </c>
      <c r="E13" s="22">
        <f>Gráficas!C15</f>
        <v>17984.418680545186</v>
      </c>
      <c r="F13" s="22">
        <f>Gráficas!D15</f>
        <v>20437.866520662577</v>
      </c>
      <c r="H13" s="28">
        <f>Gráficas!O15</f>
        <v>17915.472789910251</v>
      </c>
      <c r="I13" s="28">
        <f>Gráficas!P15</f>
        <v>19662.937027696502</v>
      </c>
      <c r="K13" s="22">
        <f t="shared" si="7"/>
        <v>-3.9342493469950846E-4</v>
      </c>
      <c r="L13" s="22">
        <f t="shared" si="8"/>
        <v>-3.9592167776172221E-3</v>
      </c>
      <c r="N13" s="23">
        <f t="shared" si="0"/>
        <v>17984.079446544551</v>
      </c>
      <c r="O13" s="23">
        <f t="shared" si="0"/>
        <v>20433.987261411952</v>
      </c>
      <c r="P13" s="23">
        <f t="shared" si="1"/>
        <v>38418.066707956503</v>
      </c>
      <c r="R13" s="26">
        <f t="shared" si="2"/>
        <v>17948.71794623079</v>
      </c>
      <c r="S13" s="26">
        <f t="shared" si="2"/>
        <v>20033.234626078895</v>
      </c>
      <c r="T13" s="26">
        <f t="shared" si="9"/>
        <v>37981.952572309689</v>
      </c>
      <c r="V13" s="23">
        <f t="shared" si="3"/>
        <v>17913.406667613883</v>
      </c>
      <c r="W13" s="23">
        <f t="shared" si="3"/>
        <v>19640.128535523938</v>
      </c>
      <c r="X13" s="23">
        <f t="shared" si="4"/>
        <v>37553.535203137821</v>
      </c>
      <c r="Z13" s="23">
        <f t="shared" si="5"/>
        <v>17878.184128846737</v>
      </c>
      <c r="AA13" s="23">
        <f t="shared" si="5"/>
        <v>19254.945107140644</v>
      </c>
      <c r="AB13" s="23">
        <f t="shared" si="6"/>
        <v>37133.129235987377</v>
      </c>
    </row>
    <row r="14" spans="1:28" ht="15.75" x14ac:dyDescent="0.25">
      <c r="B14" s="22">
        <v>40</v>
      </c>
      <c r="C14" s="22">
        <v>44</v>
      </c>
      <c r="E14" s="22">
        <f>Gráficas!C16</f>
        <v>16905.971231576477</v>
      </c>
      <c r="F14" s="22">
        <f>Gráficas!D16</f>
        <v>18998.066779506582</v>
      </c>
      <c r="H14" s="28">
        <f>Gráficas!O16</f>
        <v>16818.171891837617</v>
      </c>
      <c r="I14" s="28">
        <f>Gráficas!P16</f>
        <v>19052.470937386592</v>
      </c>
      <c r="K14" s="22">
        <f t="shared" si="7"/>
        <v>-5.3333170800128765E-4</v>
      </c>
      <c r="L14" s="22">
        <f t="shared" si="8"/>
        <v>2.9289886363245845E-4</v>
      </c>
      <c r="N14" s="23">
        <f t="shared" si="0"/>
        <v>16905.538939613187</v>
      </c>
      <c r="O14" s="23">
        <f t="shared" si="0"/>
        <v>18998.33357305931</v>
      </c>
      <c r="P14" s="23">
        <f t="shared" si="1"/>
        <v>35903.872512672497</v>
      </c>
      <c r="R14" s="26">
        <f t="shared" si="2"/>
        <v>16860.493058369419</v>
      </c>
      <c r="S14" s="26">
        <f t="shared" si="2"/>
        <v>19026.19217566029</v>
      </c>
      <c r="T14" s="26">
        <f t="shared" si="9"/>
        <v>35886.685234029705</v>
      </c>
      <c r="V14" s="23">
        <f t="shared" si="3"/>
        <v>16815.542634135632</v>
      </c>
      <c r="W14" s="23">
        <f t="shared" si="3"/>
        <v>19054.106919506925</v>
      </c>
      <c r="X14" s="23">
        <f t="shared" si="4"/>
        <v>35869.649553642557</v>
      </c>
      <c r="Z14" s="23">
        <f t="shared" si="5"/>
        <v>16770.736553758517</v>
      </c>
      <c r="AA14" s="23">
        <f t="shared" si="5"/>
        <v>19082.047306517496</v>
      </c>
      <c r="AB14" s="23">
        <f t="shared" si="6"/>
        <v>35852.783860276017</v>
      </c>
    </row>
    <row r="15" spans="1:28" ht="15.75" x14ac:dyDescent="0.25">
      <c r="B15" s="22">
        <v>45</v>
      </c>
      <c r="C15" s="22">
        <v>49</v>
      </c>
      <c r="E15" s="22">
        <f>Gráficas!C17</f>
        <v>14713.998672226606</v>
      </c>
      <c r="F15" s="22">
        <f>Gráficas!D17</f>
        <v>16329.414405782412</v>
      </c>
      <c r="H15" s="28">
        <f>Gráficas!O17</f>
        <v>16639.74949002517</v>
      </c>
      <c r="I15" s="28">
        <f>Gráficas!P17</f>
        <v>19148.972236162146</v>
      </c>
      <c r="K15" s="22">
        <f t="shared" si="7"/>
        <v>1.2598061737813625E-2</v>
      </c>
      <c r="L15" s="22">
        <f t="shared" si="8"/>
        <v>1.6314736787170016E-2</v>
      </c>
      <c r="N15" s="23">
        <f t="shared" si="0"/>
        <v>14722.888857179783</v>
      </c>
      <c r="O15" s="23">
        <f t="shared" si="0"/>
        <v>16342.192489611656</v>
      </c>
      <c r="P15" s="23">
        <f t="shared" si="1"/>
        <v>31065.081346791441</v>
      </c>
      <c r="R15" s="26">
        <f t="shared" si="2"/>
        <v>15680.661034664829</v>
      </c>
      <c r="S15" s="26">
        <f t="shared" si="2"/>
        <v>17731.95965413317</v>
      </c>
      <c r="T15" s="26">
        <f t="shared" si="9"/>
        <v>33412.620688798001</v>
      </c>
      <c r="V15" s="23">
        <f t="shared" si="3"/>
        <v>16701.315871530609</v>
      </c>
      <c r="W15" s="23">
        <f t="shared" si="3"/>
        <v>19240.774927434202</v>
      </c>
      <c r="X15" s="23">
        <f t="shared" si="4"/>
        <v>35942.090798964811</v>
      </c>
      <c r="Z15" s="23">
        <f t="shared" si="5"/>
        <v>17787.791211004547</v>
      </c>
      <c r="AA15" s="23">
        <f t="shared" si="5"/>
        <v>20877.042351838547</v>
      </c>
      <c r="AB15" s="23">
        <f t="shared" si="6"/>
        <v>38664.833562843094</v>
      </c>
    </row>
    <row r="16" spans="1:28" ht="15.75" x14ac:dyDescent="0.25">
      <c r="B16" s="22">
        <v>50</v>
      </c>
      <c r="C16" s="22">
        <v>54</v>
      </c>
      <c r="E16" s="22">
        <f>Gráficas!C18</f>
        <v>12167.627348932449</v>
      </c>
      <c r="F16" s="22">
        <f>Gráficas!D18</f>
        <v>13324.656359043402</v>
      </c>
      <c r="H16" s="28">
        <f>Gráficas!O18</f>
        <v>15761.270878647863</v>
      </c>
      <c r="I16" s="28">
        <f>Gráficas!P18</f>
        <v>18130.111148441749</v>
      </c>
      <c r="K16" s="22">
        <f t="shared" si="7"/>
        <v>2.6505831056407501E-2</v>
      </c>
      <c r="L16" s="22">
        <f t="shared" si="8"/>
        <v>3.1543331225522629E-2</v>
      </c>
      <c r="N16" s="23">
        <f t="shared" si="0"/>
        <v>12183.100134115011</v>
      </c>
      <c r="O16" s="23">
        <f t="shared" si="0"/>
        <v>13344.823168845223</v>
      </c>
      <c r="P16" s="23">
        <f t="shared" si="1"/>
        <v>25527.923302960233</v>
      </c>
      <c r="R16" s="26">
        <f t="shared" si="2"/>
        <v>13910.605439912164</v>
      </c>
      <c r="S16" s="26">
        <f t="shared" si="2"/>
        <v>15625.928349721071</v>
      </c>
      <c r="T16" s="26">
        <f t="shared" si="9"/>
        <v>29536.533789633235</v>
      </c>
      <c r="V16" s="23">
        <f t="shared" si="3"/>
        <v>15884.21618186156</v>
      </c>
      <c r="W16" s="23">
        <f t="shared" si="3"/>
        <v>18298.536876338076</v>
      </c>
      <c r="X16" s="23">
        <f t="shared" si="4"/>
        <v>34182.75305819964</v>
      </c>
      <c r="Z16" s="23">
        <f t="shared" si="5"/>
        <v>18136.522034274069</v>
      </c>
      <c r="AA16" s="23">
        <f t="shared" si="5"/>
        <v>21426.408017299367</v>
      </c>
      <c r="AB16" s="23">
        <f t="shared" si="6"/>
        <v>39562.930051573436</v>
      </c>
    </row>
    <row r="17" spans="2:28" ht="15.75" x14ac:dyDescent="0.25">
      <c r="B17" s="22">
        <v>55</v>
      </c>
      <c r="C17" s="22">
        <v>59</v>
      </c>
      <c r="E17" s="22">
        <f>Gráficas!C19</f>
        <v>9131.0584166968838</v>
      </c>
      <c r="F17" s="22">
        <f>Gráficas!D19</f>
        <v>9613.9684489176361</v>
      </c>
      <c r="H17" s="28">
        <f>Gráficas!O19</f>
        <v>13641.277538640783</v>
      </c>
      <c r="I17" s="28">
        <f>Gráficas!P19</f>
        <v>15456.968885146374</v>
      </c>
      <c r="K17" s="22">
        <f t="shared" si="7"/>
        <v>4.1116268641464671E-2</v>
      </c>
      <c r="L17" s="22">
        <f t="shared" si="8"/>
        <v>4.86369157260522E-2</v>
      </c>
      <c r="N17" s="23">
        <f t="shared" si="0"/>
        <v>9149.0764812757734</v>
      </c>
      <c r="O17" s="23">
        <f t="shared" si="0"/>
        <v>9636.4134881568752</v>
      </c>
      <c r="P17" s="23">
        <f t="shared" si="1"/>
        <v>18785.489969432649</v>
      </c>
      <c r="R17" s="26">
        <f t="shared" si="2"/>
        <v>11238.517420827702</v>
      </c>
      <c r="S17" s="26">
        <f t="shared" si="2"/>
        <v>12290.994319358457</v>
      </c>
      <c r="T17" s="26">
        <f t="shared" si="9"/>
        <v>23529.511740186157</v>
      </c>
      <c r="V17" s="23">
        <f t="shared" si="3"/>
        <v>13806.694338496181</v>
      </c>
      <c r="W17" s="23">
        <f t="shared" si="3"/>
        <v>15678.932109348585</v>
      </c>
      <c r="X17" s="23">
        <f t="shared" si="4"/>
        <v>29485.626447844767</v>
      </c>
      <c r="Z17" s="23">
        <f t="shared" si="5"/>
        <v>16959.829242305739</v>
      </c>
      <c r="AA17" s="23">
        <f t="shared" si="5"/>
        <v>19998.069377829212</v>
      </c>
      <c r="AB17" s="23">
        <f t="shared" si="6"/>
        <v>36957.898620134947</v>
      </c>
    </row>
    <row r="18" spans="2:28" ht="15.75" x14ac:dyDescent="0.25">
      <c r="B18" s="22">
        <v>60</v>
      </c>
      <c r="C18" s="22">
        <v>64</v>
      </c>
      <c r="E18" s="22">
        <f>Gráficas!C20</f>
        <v>6113.9347098095259</v>
      </c>
      <c r="F18" s="22">
        <f>Gráficas!D20</f>
        <v>6244.9742146832168</v>
      </c>
      <c r="H18" s="28">
        <f>Gráficas!O20</f>
        <v>11045.053357483408</v>
      </c>
      <c r="I18" s="28">
        <f>Gráficas!P20</f>
        <v>12470.369389535324</v>
      </c>
      <c r="K18" s="22">
        <f t="shared" si="7"/>
        <v>6.0576799482563969E-2</v>
      </c>
      <c r="L18" s="22">
        <f t="shared" si="8"/>
        <v>7.0836566273723811E-2</v>
      </c>
      <c r="N18" s="23">
        <f t="shared" si="0"/>
        <v>6131.7176321898578</v>
      </c>
      <c r="O18" s="23">
        <f t="shared" si="0"/>
        <v>6266.2199142083618</v>
      </c>
      <c r="P18" s="23">
        <f t="shared" si="1"/>
        <v>12397.93754639822</v>
      </c>
      <c r="R18" s="26">
        <f t="shared" si="2"/>
        <v>8302.2359737984189</v>
      </c>
      <c r="S18" s="26">
        <f t="shared" si="2"/>
        <v>8931.1948925490324</v>
      </c>
      <c r="T18" s="26">
        <f t="shared" si="9"/>
        <v>17233.430866347451</v>
      </c>
      <c r="V18" s="23">
        <f t="shared" si="3"/>
        <v>11242.944743821075</v>
      </c>
      <c r="W18" s="23">
        <f t="shared" si="3"/>
        <v>12732.033867304426</v>
      </c>
      <c r="X18" s="23">
        <f t="shared" si="4"/>
        <v>23974.978611125502</v>
      </c>
      <c r="Z18" s="23">
        <f t="shared" si="5"/>
        <v>15222.746039961326</v>
      </c>
      <c r="AA18" s="23">
        <f t="shared" si="5"/>
        <v>18146.869628624638</v>
      </c>
      <c r="AB18" s="23">
        <f t="shared" si="6"/>
        <v>33369.615668585961</v>
      </c>
    </row>
    <row r="19" spans="2:28" ht="15.75" x14ac:dyDescent="0.25">
      <c r="B19" s="22">
        <v>65</v>
      </c>
      <c r="C19" s="22">
        <v>69</v>
      </c>
      <c r="E19" s="22">
        <f>Gráficas!C21</f>
        <v>3681.9470650342337</v>
      </c>
      <c r="F19" s="22">
        <f>Gráficas!D21</f>
        <v>3945.3840309387033</v>
      </c>
      <c r="H19" s="28">
        <f>Gráficas!O21</f>
        <v>7984.1054231299913</v>
      </c>
      <c r="I19" s="28">
        <f>Gráficas!P21</f>
        <v>8907.7015445907437</v>
      </c>
      <c r="K19" s="22">
        <f t="shared" si="7"/>
        <v>7.9279929445458738E-2</v>
      </c>
      <c r="L19" s="22">
        <f t="shared" si="8"/>
        <v>8.3413787378281007E-2</v>
      </c>
      <c r="N19" s="23">
        <f t="shared" si="0"/>
        <v>3695.9691191161837</v>
      </c>
      <c r="O19" s="23">
        <f t="shared" si="0"/>
        <v>3961.1943644689873</v>
      </c>
      <c r="P19" s="23">
        <f t="shared" si="1"/>
        <v>7657.163483585171</v>
      </c>
      <c r="R19" s="26">
        <f t="shared" si="2"/>
        <v>5495.1157434200441</v>
      </c>
      <c r="S19" s="26">
        <f t="shared" si="2"/>
        <v>6012.5145464500911</v>
      </c>
      <c r="T19" s="26">
        <f t="shared" si="9"/>
        <v>11507.630289870136</v>
      </c>
      <c r="V19" s="23">
        <f t="shared" si="3"/>
        <v>8171.8368221910941</v>
      </c>
      <c r="W19" s="23">
        <f t="shared" si="3"/>
        <v>9128.2048435385932</v>
      </c>
      <c r="X19" s="23">
        <f t="shared" si="4"/>
        <v>17300.041665729688</v>
      </c>
      <c r="Z19" s="23">
        <f t="shared" si="5"/>
        <v>12149.773909642425</v>
      </c>
      <c r="AA19" s="23">
        <f t="shared" si="5"/>
        <v>13855.281855655501</v>
      </c>
      <c r="AB19" s="23">
        <f t="shared" si="6"/>
        <v>26005.055765297926</v>
      </c>
    </row>
    <row r="20" spans="2:28" ht="15.75" x14ac:dyDescent="0.25">
      <c r="B20" s="22">
        <v>70</v>
      </c>
      <c r="C20" s="22">
        <v>74</v>
      </c>
      <c r="E20" s="22">
        <f>Gráficas!C22</f>
        <v>2145.7107160377964</v>
      </c>
      <c r="F20" s="22">
        <f>Gráficas!D22</f>
        <v>2548.1928117160114</v>
      </c>
      <c r="H20" s="28">
        <f>Gráficas!O22</f>
        <v>4948.6106670232184</v>
      </c>
      <c r="I20" s="28">
        <f>Gráficas!P22</f>
        <v>5364.233893245706</v>
      </c>
      <c r="K20" s="22">
        <f t="shared" si="7"/>
        <v>8.5592016563967047E-2</v>
      </c>
      <c r="L20" s="22">
        <f t="shared" si="8"/>
        <v>7.6243789578753995E-2</v>
      </c>
      <c r="N20" s="23">
        <f t="shared" si="0"/>
        <v>2154.5342188944419</v>
      </c>
      <c r="O20" s="23">
        <f t="shared" si="0"/>
        <v>2557.5248384308625</v>
      </c>
      <c r="P20" s="23">
        <f t="shared" si="1"/>
        <v>4712.0590573253048</v>
      </c>
      <c r="R20" s="26">
        <f t="shared" si="2"/>
        <v>3306.0996528267974</v>
      </c>
      <c r="S20" s="26">
        <f t="shared" si="2"/>
        <v>3745.1728312897653</v>
      </c>
      <c r="T20" s="26">
        <f t="shared" si="9"/>
        <v>7051.2724841165627</v>
      </c>
      <c r="V20" s="23">
        <f t="shared" si="3"/>
        <v>5074.3489051020197</v>
      </c>
      <c r="W20" s="23">
        <f t="shared" si="3"/>
        <v>5485.4793777911009</v>
      </c>
      <c r="X20" s="23">
        <f t="shared" si="4"/>
        <v>10559.828282893121</v>
      </c>
      <c r="Z20" s="23">
        <f t="shared" si="5"/>
        <v>7786.5104236257012</v>
      </c>
      <c r="AA20" s="23">
        <f t="shared" si="5"/>
        <v>8032.7932787186819</v>
      </c>
      <c r="AB20" s="23">
        <f t="shared" si="6"/>
        <v>15819.303702344383</v>
      </c>
    </row>
    <row r="21" spans="2:28" ht="15.75" x14ac:dyDescent="0.25">
      <c r="B21" s="22">
        <v>75</v>
      </c>
      <c r="C21" s="22">
        <v>79</v>
      </c>
      <c r="E21" s="22">
        <f>Gráficas!C23</f>
        <v>1279.0637117931874</v>
      </c>
      <c r="F21" s="22">
        <f>Gráficas!D23</f>
        <v>1693.6728718405504</v>
      </c>
      <c r="H21" s="28">
        <f>Gráficas!O23</f>
        <v>2627.6185189456146</v>
      </c>
      <c r="I21" s="28">
        <f>Gráficas!P23</f>
        <v>2968.9628356922517</v>
      </c>
      <c r="K21" s="22">
        <f t="shared" si="7"/>
        <v>7.3742557060694033E-2</v>
      </c>
      <c r="L21" s="22">
        <f t="shared" si="8"/>
        <v>5.7493846458921506E-2</v>
      </c>
      <c r="N21" s="23">
        <f t="shared" si="0"/>
        <v>1283.5939759622152</v>
      </c>
      <c r="O21" s="23">
        <f t="shared" si="0"/>
        <v>1698.3480137290214</v>
      </c>
      <c r="P21" s="23">
        <f t="shared" si="1"/>
        <v>2981.9419896912368</v>
      </c>
      <c r="R21" s="26">
        <f t="shared" si="2"/>
        <v>1856.2879297003121</v>
      </c>
      <c r="S21" s="26">
        <f t="shared" si="2"/>
        <v>2264.338745349432</v>
      </c>
      <c r="T21" s="26">
        <f t="shared" si="9"/>
        <v>4120.6266750497443</v>
      </c>
      <c r="V21" s="23">
        <f t="shared" si="3"/>
        <v>2685.0399611984221</v>
      </c>
      <c r="W21" s="23">
        <f t="shared" si="3"/>
        <v>3019.4268805425254</v>
      </c>
      <c r="X21" s="23">
        <f t="shared" si="4"/>
        <v>5704.4668417409475</v>
      </c>
      <c r="Z21" s="23">
        <f t="shared" si="5"/>
        <v>3883.0092412979234</v>
      </c>
      <c r="AA21" s="23">
        <f t="shared" si="5"/>
        <v>4025.6797894738688</v>
      </c>
      <c r="AB21" s="23">
        <f t="shared" si="6"/>
        <v>7908.6890307717922</v>
      </c>
    </row>
    <row r="22" spans="2:28" ht="15.75" x14ac:dyDescent="0.25">
      <c r="B22" s="22">
        <v>80</v>
      </c>
      <c r="C22" s="22">
        <v>84</v>
      </c>
      <c r="E22" s="22">
        <f>Gráficas!C24</f>
        <v>704.60345967621515</v>
      </c>
      <c r="F22" s="22">
        <f>Gráficas!D24</f>
        <v>1096.2645643167089</v>
      </c>
      <c r="H22" s="28">
        <f>Gráficas!O24</f>
        <v>1380.850554510643</v>
      </c>
      <c r="I22" s="28">
        <f>Gráficas!P24</f>
        <v>1792.1848462166577</v>
      </c>
      <c r="K22" s="22">
        <f t="shared" si="7"/>
        <v>6.8915170753982083E-2</v>
      </c>
      <c r="L22" s="22">
        <f t="shared" si="8"/>
        <v>5.0345817900153619E-2</v>
      </c>
      <c r="N22" s="23">
        <f t="shared" si="0"/>
        <v>706.9354270883623</v>
      </c>
      <c r="O22" s="23">
        <f t="shared" si="0"/>
        <v>1098.913968546439</v>
      </c>
      <c r="P22" s="23">
        <f t="shared" si="1"/>
        <v>1805.8493956348013</v>
      </c>
      <c r="R22" s="26">
        <f t="shared" si="2"/>
        <v>997.95081397472927</v>
      </c>
      <c r="S22" s="26">
        <f>F22*EXP(L22*$I$32)</f>
        <v>1413.670359457238</v>
      </c>
      <c r="T22" s="26">
        <f t="shared" si="9"/>
        <v>2411.6211734319672</v>
      </c>
      <c r="V22" s="23">
        <f t="shared" si="3"/>
        <v>1409.0309275339387</v>
      </c>
      <c r="W22" s="23">
        <f t="shared" si="3"/>
        <v>1818.8316984240287</v>
      </c>
      <c r="X22" s="23">
        <f t="shared" si="4"/>
        <v>3227.8626259579673</v>
      </c>
      <c r="Z22" s="23">
        <f t="shared" si="5"/>
        <v>1989.0693084084232</v>
      </c>
      <c r="AA22" s="23">
        <f t="shared" si="5"/>
        <v>2339.7904972527954</v>
      </c>
      <c r="AB22" s="23">
        <f t="shared" si="6"/>
        <v>4328.8598056612191</v>
      </c>
    </row>
    <row r="23" spans="2:28" ht="15.75" x14ac:dyDescent="0.25">
      <c r="B23" s="22" t="s">
        <v>25</v>
      </c>
      <c r="C23" s="22"/>
      <c r="E23" s="22">
        <f>Gráficas!C25</f>
        <v>505.32167310112402</v>
      </c>
      <c r="F23" s="22">
        <f>Gráficas!D25</f>
        <v>880.87245344076598</v>
      </c>
      <c r="H23" s="28">
        <f>Gráficas!O25</f>
        <v>908.55964021424904</v>
      </c>
      <c r="I23" s="28">
        <f>Gráficas!P25</f>
        <v>1616.0684124175893</v>
      </c>
      <c r="K23" s="22">
        <f t="shared" si="7"/>
        <v>6.0090597818191656E-2</v>
      </c>
      <c r="L23" s="22">
        <f t="shared" si="8"/>
        <v>6.2156906733288997E-2</v>
      </c>
      <c r="N23" s="23">
        <f t="shared" si="0"/>
        <v>506.77963239229319</v>
      </c>
      <c r="O23" s="23">
        <f t="shared" si="0"/>
        <v>883.50147951542499</v>
      </c>
      <c r="P23" s="23">
        <f>SUM(N23,O23)</f>
        <v>1390.2811119077182</v>
      </c>
      <c r="R23" s="26">
        <f t="shared" si="2"/>
        <v>684.5035834537573</v>
      </c>
      <c r="S23" s="26">
        <f>F23*EXP(L23*$I$32)</f>
        <v>1205.7388275457736</v>
      </c>
      <c r="T23" s="26">
        <f>SUM(R23,S23)</f>
        <v>1890.2424109995309</v>
      </c>
      <c r="V23" s="23">
        <f t="shared" si="3"/>
        <v>924.70626200867173</v>
      </c>
      <c r="W23" s="23">
        <f t="shared" si="3"/>
        <v>1645.7852622763319</v>
      </c>
      <c r="X23" s="23">
        <f>SUM(V23,W23)</f>
        <v>2570.4915242850038</v>
      </c>
      <c r="Z23" s="23">
        <f t="shared" si="5"/>
        <v>1248.9940588162647</v>
      </c>
      <c r="AA23" s="23">
        <f>I23*EXP(L23*$I$34)</f>
        <v>2246.0485223154992</v>
      </c>
      <c r="AB23" s="23">
        <f>SUM(Z23,AA23)</f>
        <v>3495.0425811317637</v>
      </c>
    </row>
    <row r="24" spans="2:28" ht="15.75" x14ac:dyDescent="0.25">
      <c r="B24" s="77" t="s">
        <v>34</v>
      </c>
      <c r="C24" s="77"/>
      <c r="E24" s="21">
        <f>SUM(E5:E23)</f>
        <v>238669.55208711044</v>
      </c>
      <c r="F24" s="21">
        <f>SUM(F5:F23)</f>
        <v>248911.93663071733</v>
      </c>
      <c r="H24" s="29">
        <f>SUM(H5:H23)</f>
        <v>251568.64477966697</v>
      </c>
      <c r="I24" s="29">
        <f>SUM(I5:I23)</f>
        <v>264737.71044771251</v>
      </c>
      <c r="K24" s="18">
        <f>(LN(H24/E24))/I30</f>
        <v>5.3913604367228588E-3</v>
      </c>
      <c r="L24" s="18">
        <f>(LN(I24/F24))/I30</f>
        <v>6.3136650307216192E-3</v>
      </c>
      <c r="N24" s="51">
        <f>SUM(N5:N23)</f>
        <v>238698.54561933569</v>
      </c>
      <c r="O24" s="51">
        <f>SUM(O5:O23)</f>
        <v>248947.91978545429</v>
      </c>
      <c r="P24" s="51">
        <f>SUM(P5:P23)</f>
        <v>487646.46540479001</v>
      </c>
      <c r="R24" s="53">
        <f>SUM(R5:R23)</f>
        <v>243431.7258002171</v>
      </c>
      <c r="S24" s="53">
        <f>SUM(S5:S23)</f>
        <v>254769.21904154919</v>
      </c>
      <c r="T24" s="53">
        <f>SUM(T5:T23)</f>
        <v>498200.94484176638</v>
      </c>
      <c r="V24" s="54">
        <f>SUM(V5:V23)</f>
        <v>252215.87834033938</v>
      </c>
      <c r="W24" s="54">
        <f>SUM(W5:W23)</f>
        <v>265530.78700046276</v>
      </c>
      <c r="X24" s="54">
        <f>SUM(X5:X23)</f>
        <v>517746.66534080217</v>
      </c>
      <c r="Z24" s="54">
        <f>SUM(Z5:Z23)</f>
        <v>266358.70676470292</v>
      </c>
      <c r="AA24" s="54">
        <f>SUM(AA5:AA23)</f>
        <v>282877.69396304869</v>
      </c>
      <c r="AB24" s="54">
        <f>SUM(AB5:AB23)</f>
        <v>549236.40072775178</v>
      </c>
    </row>
    <row r="25" spans="2:28" x14ac:dyDescent="0.25">
      <c r="B25" s="77" t="s">
        <v>35</v>
      </c>
      <c r="C25" s="77"/>
      <c r="E25" s="81">
        <f>SUM(E24,F24)</f>
        <v>487581.48871782777</v>
      </c>
      <c r="F25" s="82"/>
      <c r="H25" s="83">
        <f>SUM(H24,I24)</f>
        <v>516306.35522737948</v>
      </c>
      <c r="I25" s="84"/>
      <c r="K25" s="50"/>
      <c r="L25" s="50">
        <f>(LN(H25/E25))/I30</f>
        <v>5.8632375144994824E-3</v>
      </c>
    </row>
    <row r="26" spans="2:28" x14ac:dyDescent="0.25">
      <c r="S26" s="6"/>
    </row>
    <row r="28" spans="2:28" s="2" customFormat="1" ht="15.75" x14ac:dyDescent="0.25">
      <c r="B28" s="76" t="s">
        <v>38</v>
      </c>
      <c r="C28" s="76"/>
      <c r="D28" s="76"/>
      <c r="E28" s="76"/>
    </row>
    <row r="29" spans="2:28" s="2" customFormat="1" ht="15.75" x14ac:dyDescent="0.25">
      <c r="B29" s="109" t="s">
        <v>39</v>
      </c>
      <c r="C29" s="44" t="s">
        <v>40</v>
      </c>
      <c r="D29" s="44" t="s">
        <v>41</v>
      </c>
      <c r="E29" s="44" t="s">
        <v>42</v>
      </c>
    </row>
    <row r="30" spans="2:28" ht="18.75" x14ac:dyDescent="0.3">
      <c r="B30" s="41">
        <v>2010</v>
      </c>
      <c r="C30" s="42">
        <v>40329</v>
      </c>
      <c r="D30" s="42">
        <v>40354</v>
      </c>
      <c r="E30" s="43">
        <v>40341.5</v>
      </c>
      <c r="H30" s="25" t="s">
        <v>43</v>
      </c>
      <c r="I30" s="25">
        <f>(E31-E30)/365</f>
        <v>9.7630136986301377</v>
      </c>
      <c r="J30" s="5" t="s">
        <v>44</v>
      </c>
      <c r="N30" s="85" t="s">
        <v>58</v>
      </c>
      <c r="O30" s="85"/>
      <c r="P30" s="86"/>
      <c r="R30" s="80" t="s">
        <v>59</v>
      </c>
      <c r="S30" s="80"/>
      <c r="T30" s="80"/>
      <c r="U30" s="56">
        <f>RIGHT(R30,4)+$P$31</f>
        <v>2128.2191884340054</v>
      </c>
      <c r="V30" s="38">
        <v>2010</v>
      </c>
    </row>
    <row r="31" spans="2:28" ht="15.75" x14ac:dyDescent="0.25">
      <c r="B31" s="41">
        <v>2020</v>
      </c>
      <c r="C31" s="42">
        <v>43892</v>
      </c>
      <c r="D31" s="42">
        <v>43917</v>
      </c>
      <c r="E31" s="43">
        <v>43905</v>
      </c>
      <c r="H31" s="5" t="s">
        <v>45</v>
      </c>
      <c r="I31" s="5">
        <f>(E32-E30)/365</f>
        <v>4.7945205479452052E-2</v>
      </c>
      <c r="J31" s="5" t="s">
        <v>46</v>
      </c>
      <c r="N31" s="8"/>
      <c r="O31" s="8"/>
      <c r="P31" s="5">
        <f>LN(2)/L25</f>
        <v>118.21918843400566</v>
      </c>
      <c r="R31" s="80" t="s">
        <v>60</v>
      </c>
      <c r="S31" s="80"/>
      <c r="T31" s="80"/>
      <c r="U31" s="56">
        <f>RIGHT(R31,4)+$P$31</f>
        <v>2138.2191884340054</v>
      </c>
      <c r="V31" s="38">
        <v>2020</v>
      </c>
    </row>
    <row r="32" spans="2:28" ht="15.75" x14ac:dyDescent="0.25">
      <c r="B32" s="41">
        <v>2010</v>
      </c>
      <c r="C32" s="42"/>
      <c r="D32" s="42"/>
      <c r="E32" s="43">
        <v>40359</v>
      </c>
      <c r="H32" s="5" t="s">
        <v>47</v>
      </c>
      <c r="I32" s="5">
        <f>(E33-E30)/365</f>
        <v>5.0506849315068489</v>
      </c>
      <c r="J32" s="5" t="s">
        <v>48</v>
      </c>
    </row>
    <row r="33" spans="2:22" ht="15.75" x14ac:dyDescent="0.25">
      <c r="B33" s="44">
        <v>2015</v>
      </c>
      <c r="C33" s="55"/>
      <c r="D33" s="55"/>
      <c r="E33" s="43">
        <v>42185</v>
      </c>
      <c r="H33" s="5" t="s">
        <v>49</v>
      </c>
      <c r="I33" s="5">
        <f>(E34-E31)/365</f>
        <v>0.29315068493150687</v>
      </c>
      <c r="J33" s="5" t="s">
        <v>50</v>
      </c>
    </row>
    <row r="34" spans="2:22" ht="15.75" x14ac:dyDescent="0.25">
      <c r="B34" s="44">
        <v>2020</v>
      </c>
      <c r="C34" s="55"/>
      <c r="D34" s="55"/>
      <c r="E34" s="43">
        <v>44012</v>
      </c>
      <c r="H34" s="5" t="s">
        <v>51</v>
      </c>
      <c r="I34" s="5">
        <f>(E35-E31)/365</f>
        <v>5.2958904109589042</v>
      </c>
      <c r="J34" s="5" t="s">
        <v>52</v>
      </c>
    </row>
    <row r="35" spans="2:22" ht="15.75" x14ac:dyDescent="0.25">
      <c r="B35" s="41">
        <v>2025</v>
      </c>
      <c r="C35" s="42"/>
      <c r="D35" s="42"/>
      <c r="E35" s="43">
        <v>45838</v>
      </c>
    </row>
    <row r="37" spans="2:22" x14ac:dyDescent="0.25">
      <c r="B37" s="73" t="s">
        <v>2</v>
      </c>
      <c r="C37" s="73"/>
      <c r="D37" s="73"/>
      <c r="E37" s="73"/>
      <c r="F37" s="73"/>
      <c r="R37" s="74" t="s">
        <v>3</v>
      </c>
      <c r="S37" s="74"/>
      <c r="T37" s="74"/>
      <c r="U37" s="74"/>
      <c r="V37" s="74"/>
    </row>
    <row r="38" spans="2:22" x14ac:dyDescent="0.25">
      <c r="B38" s="46" t="s">
        <v>31</v>
      </c>
      <c r="C38" s="57">
        <v>2010</v>
      </c>
      <c r="D38" s="57">
        <v>2015</v>
      </c>
      <c r="E38" s="57">
        <v>2020</v>
      </c>
      <c r="F38" s="57">
        <v>2025</v>
      </c>
      <c r="R38" s="46" t="s">
        <v>31</v>
      </c>
      <c r="S38" s="57">
        <v>2010</v>
      </c>
      <c r="T38" s="57">
        <v>2015</v>
      </c>
      <c r="U38" s="57">
        <v>2020</v>
      </c>
      <c r="V38" s="57">
        <v>2025</v>
      </c>
    </row>
    <row r="39" spans="2:22" ht="15.75" x14ac:dyDescent="0.25">
      <c r="B39" s="46">
        <v>0</v>
      </c>
      <c r="C39" s="58">
        <f>N5</f>
        <v>3907.1772915946071</v>
      </c>
      <c r="D39" s="58">
        <f>R5</f>
        <v>3489.4651678427285</v>
      </c>
      <c r="E39" s="58">
        <f>V5</f>
        <v>3116.2172346680632</v>
      </c>
      <c r="F39" s="58">
        <f>Z5</f>
        <v>2783.065800264083</v>
      </c>
      <c r="R39" s="46">
        <f>B39</f>
        <v>0</v>
      </c>
      <c r="S39" s="49">
        <f>O5</f>
        <v>3864.5627041459138</v>
      </c>
      <c r="T39" s="49">
        <f>S5</f>
        <v>3434.9374968289617</v>
      </c>
      <c r="U39" s="49">
        <f>W5</f>
        <v>3052.8768821105159</v>
      </c>
      <c r="V39" s="49">
        <f>AA5</f>
        <v>2713.4871597021356</v>
      </c>
    </row>
    <row r="40" spans="2:22" ht="15.75" x14ac:dyDescent="0.25">
      <c r="B40" s="46">
        <v>1</v>
      </c>
      <c r="C40" s="58">
        <f t="shared" ref="C40:C57" si="10">N6</f>
        <v>18182.400551759696</v>
      </c>
      <c r="D40" s="58">
        <f t="shared" ref="D40:D57" si="11">R6</f>
        <v>16463.472348085623</v>
      </c>
      <c r="E40" s="58">
        <f t="shared" ref="E40:E57" si="12">V6</f>
        <v>14906.23749653565</v>
      </c>
      <c r="F40" s="58">
        <f t="shared" ref="F40:F57" si="13">Z6</f>
        <v>13497.031271509475</v>
      </c>
      <c r="R40" s="46">
        <f t="shared" ref="R40:R57" si="14">B40</f>
        <v>1</v>
      </c>
      <c r="S40" s="49">
        <f t="shared" ref="S40:S57" si="15">O6</f>
        <v>17457.318792316153</v>
      </c>
      <c r="T40" s="49">
        <f t="shared" ref="T40:T57" si="16">S6</f>
        <v>15879.31161728862</v>
      </c>
      <c r="U40" s="49">
        <f t="shared" ref="U40:U57" si="17">W6</f>
        <v>14443.194734707715</v>
      </c>
      <c r="V40" s="49">
        <f t="shared" ref="V40:V57" si="18">AA6</f>
        <v>13137.64116185778</v>
      </c>
    </row>
    <row r="41" spans="2:22" ht="15.75" x14ac:dyDescent="0.25">
      <c r="B41" s="46">
        <v>5</v>
      </c>
      <c r="C41" s="58">
        <f t="shared" si="10"/>
        <v>23465.682304423815</v>
      </c>
      <c r="D41" s="58">
        <f t="shared" si="11"/>
        <v>21268.818848699771</v>
      </c>
      <c r="E41" s="58">
        <f t="shared" si="12"/>
        <v>19276.588615423214</v>
      </c>
      <c r="F41" s="58">
        <f t="shared" si="13"/>
        <v>17471.909231680522</v>
      </c>
      <c r="R41" s="46">
        <f t="shared" si="14"/>
        <v>5</v>
      </c>
      <c r="S41" s="49">
        <f t="shared" si="15"/>
        <v>22393.196309981347</v>
      </c>
      <c r="T41" s="49">
        <f t="shared" si="16"/>
        <v>20519.664650892024</v>
      </c>
      <c r="U41" s="49">
        <f t="shared" si="17"/>
        <v>18801.982736958074</v>
      </c>
      <c r="V41" s="49">
        <f t="shared" si="18"/>
        <v>17228.910745638972</v>
      </c>
    </row>
    <row r="42" spans="2:22" ht="15.75" x14ac:dyDescent="0.25">
      <c r="B42" s="46">
        <f>B41+5</f>
        <v>10</v>
      </c>
      <c r="C42" s="58">
        <f t="shared" si="10"/>
        <v>22922.623482507068</v>
      </c>
      <c r="D42" s="58">
        <f t="shared" si="11"/>
        <v>21792.127108788856</v>
      </c>
      <c r="E42" s="58">
        <f t="shared" si="12"/>
        <v>20716.810666497746</v>
      </c>
      <c r="F42" s="58">
        <f t="shared" si="13"/>
        <v>19695.100418045811</v>
      </c>
      <c r="R42" s="46">
        <f t="shared" si="14"/>
        <v>10</v>
      </c>
      <c r="S42" s="49">
        <f t="shared" si="15"/>
        <v>22310.888876533452</v>
      </c>
      <c r="T42" s="49">
        <f t="shared" si="16"/>
        <v>21008.456117302449</v>
      </c>
      <c r="U42" s="49">
        <f t="shared" si="17"/>
        <v>19781.403266335408</v>
      </c>
      <c r="V42" s="49">
        <f t="shared" si="18"/>
        <v>18626.633154745057</v>
      </c>
    </row>
    <row r="43" spans="2:22" ht="15.75" x14ac:dyDescent="0.25">
      <c r="B43" s="46">
        <f t="shared" ref="B43:B57" si="19">B42+5</f>
        <v>15</v>
      </c>
      <c r="C43" s="58">
        <f t="shared" si="10"/>
        <v>23496.644453558081</v>
      </c>
      <c r="D43" s="58">
        <f t="shared" si="11"/>
        <v>22486.186995708969</v>
      </c>
      <c r="E43" s="58">
        <f t="shared" si="12"/>
        <v>21518.665569446599</v>
      </c>
      <c r="F43" s="58">
        <f t="shared" si="13"/>
        <v>20593.269768757465</v>
      </c>
      <c r="R43" s="46">
        <f t="shared" si="14"/>
        <v>15</v>
      </c>
      <c r="S43" s="49">
        <f t="shared" si="15"/>
        <v>23208.308230709263</v>
      </c>
      <c r="T43" s="49">
        <f t="shared" si="16"/>
        <v>21864.278644487797</v>
      </c>
      <c r="U43" s="49">
        <f t="shared" si="17"/>
        <v>20597.41098638796</v>
      </c>
      <c r="V43" s="49">
        <f t="shared" si="18"/>
        <v>19404.582560891715</v>
      </c>
    </row>
    <row r="44" spans="2:22" ht="15.75" x14ac:dyDescent="0.25">
      <c r="B44" s="46">
        <f t="shared" si="19"/>
        <v>20</v>
      </c>
      <c r="C44" s="58">
        <f t="shared" si="10"/>
        <v>22924.811474886879</v>
      </c>
      <c r="D44" s="58">
        <f t="shared" si="11"/>
        <v>22242.66425596298</v>
      </c>
      <c r="E44" s="58">
        <f t="shared" si="12"/>
        <v>21580.457897704706</v>
      </c>
      <c r="F44" s="58">
        <f t="shared" si="13"/>
        <v>20938.313060258617</v>
      </c>
      <c r="R44" s="46">
        <f t="shared" si="14"/>
        <v>20</v>
      </c>
      <c r="S44" s="49">
        <f t="shared" si="15"/>
        <v>23019.882440906371</v>
      </c>
      <c r="T44" s="49">
        <f t="shared" si="16"/>
        <v>22070.509030663423</v>
      </c>
      <c r="U44" s="49">
        <f t="shared" si="17"/>
        <v>21159.801111145924</v>
      </c>
      <c r="V44" s="49">
        <f t="shared" si="18"/>
        <v>20287.140158488161</v>
      </c>
    </row>
    <row r="45" spans="2:22" ht="15.75" x14ac:dyDescent="0.25">
      <c r="B45" s="46">
        <f t="shared" si="19"/>
        <v>25</v>
      </c>
      <c r="C45" s="58">
        <f t="shared" si="10"/>
        <v>20143.50376765725</v>
      </c>
      <c r="D45" s="58">
        <f t="shared" si="11"/>
        <v>20521.443183353469</v>
      </c>
      <c r="E45" s="58">
        <f t="shared" si="12"/>
        <v>20906.686456654719</v>
      </c>
      <c r="F45" s="58">
        <f t="shared" si="13"/>
        <v>21298.944971097415</v>
      </c>
      <c r="R45" s="46">
        <f t="shared" si="14"/>
        <v>25</v>
      </c>
      <c r="S45" s="49">
        <f t="shared" si="15"/>
        <v>21174.039426968884</v>
      </c>
      <c r="T45" s="49">
        <f t="shared" si="16"/>
        <v>21228.893920187271</v>
      </c>
      <c r="U45" s="49">
        <f t="shared" si="17"/>
        <v>21283.920679737646</v>
      </c>
      <c r="V45" s="49">
        <f t="shared" si="18"/>
        <v>21339.059836657332</v>
      </c>
    </row>
    <row r="46" spans="2:22" ht="15.75" x14ac:dyDescent="0.25">
      <c r="B46" s="46">
        <f t="shared" si="19"/>
        <v>30</v>
      </c>
      <c r="C46" s="58">
        <f t="shared" si="10"/>
        <v>18231.488428576609</v>
      </c>
      <c r="D46" s="58">
        <f t="shared" si="11"/>
        <v>18886.359294595786</v>
      </c>
      <c r="E46" s="58">
        <f t="shared" si="12"/>
        <v>19565.13108791555</v>
      </c>
      <c r="F46" s="58">
        <f t="shared" si="13"/>
        <v>20267.906091147819</v>
      </c>
      <c r="R46" s="46">
        <f t="shared" si="14"/>
        <v>30</v>
      </c>
      <c r="S46" s="49">
        <f t="shared" si="15"/>
        <v>20298.270443908823</v>
      </c>
      <c r="T46" s="49">
        <f t="shared" si="16"/>
        <v>20482.228236305418</v>
      </c>
      <c r="U46" s="49">
        <f t="shared" si="17"/>
        <v>20667.9553050508</v>
      </c>
      <c r="V46" s="49">
        <f t="shared" si="18"/>
        <v>20855.263452401334</v>
      </c>
    </row>
    <row r="47" spans="2:22" ht="15.75" x14ac:dyDescent="0.25">
      <c r="B47" s="46">
        <f t="shared" si="19"/>
        <v>35</v>
      </c>
      <c r="C47" s="58">
        <f t="shared" si="10"/>
        <v>17984.079446544551</v>
      </c>
      <c r="D47" s="58">
        <f t="shared" si="11"/>
        <v>17948.71794623079</v>
      </c>
      <c r="E47" s="58">
        <f t="shared" si="12"/>
        <v>17913.406667613883</v>
      </c>
      <c r="F47" s="58">
        <f t="shared" si="13"/>
        <v>17878.184128846737</v>
      </c>
      <c r="R47" s="46">
        <f t="shared" si="14"/>
        <v>35</v>
      </c>
      <c r="S47" s="49">
        <f t="shared" si="15"/>
        <v>20433.987261411952</v>
      </c>
      <c r="T47" s="49">
        <f t="shared" si="16"/>
        <v>20033.234626078895</v>
      </c>
      <c r="U47" s="49">
        <f t="shared" si="17"/>
        <v>19640.128535523938</v>
      </c>
      <c r="V47" s="49">
        <f t="shared" si="18"/>
        <v>19254.945107140644</v>
      </c>
    </row>
    <row r="48" spans="2:22" ht="15.75" x14ac:dyDescent="0.25">
      <c r="B48" s="46">
        <f t="shared" si="19"/>
        <v>40</v>
      </c>
      <c r="C48" s="58">
        <f t="shared" si="10"/>
        <v>16905.538939613187</v>
      </c>
      <c r="D48" s="58">
        <f t="shared" si="11"/>
        <v>16860.493058369419</v>
      </c>
      <c r="E48" s="58">
        <f t="shared" si="12"/>
        <v>16815.542634135632</v>
      </c>
      <c r="F48" s="58">
        <f t="shared" si="13"/>
        <v>16770.736553758517</v>
      </c>
      <c r="R48" s="46">
        <f t="shared" si="14"/>
        <v>40</v>
      </c>
      <c r="S48" s="49">
        <f t="shared" si="15"/>
        <v>18998.33357305931</v>
      </c>
      <c r="T48" s="49">
        <f t="shared" si="16"/>
        <v>19026.19217566029</v>
      </c>
      <c r="U48" s="49">
        <f t="shared" si="17"/>
        <v>19054.106919506925</v>
      </c>
      <c r="V48" s="49">
        <f t="shared" si="18"/>
        <v>19082.047306517496</v>
      </c>
    </row>
    <row r="49" spans="2:22" ht="15.75" x14ac:dyDescent="0.25">
      <c r="B49" s="46">
        <f t="shared" si="19"/>
        <v>45</v>
      </c>
      <c r="C49" s="58">
        <f t="shared" si="10"/>
        <v>14722.888857179783</v>
      </c>
      <c r="D49" s="58">
        <f t="shared" si="11"/>
        <v>15680.661034664829</v>
      </c>
      <c r="E49" s="58">
        <f t="shared" si="12"/>
        <v>16701.315871530609</v>
      </c>
      <c r="F49" s="58">
        <f t="shared" si="13"/>
        <v>17787.791211004547</v>
      </c>
      <c r="R49" s="46">
        <f t="shared" si="14"/>
        <v>45</v>
      </c>
      <c r="S49" s="49">
        <f t="shared" si="15"/>
        <v>16342.192489611656</v>
      </c>
      <c r="T49" s="49">
        <f t="shared" si="16"/>
        <v>17731.95965413317</v>
      </c>
      <c r="U49" s="49">
        <f t="shared" si="17"/>
        <v>19240.774927434202</v>
      </c>
      <c r="V49" s="49">
        <f t="shared" si="18"/>
        <v>20877.042351838547</v>
      </c>
    </row>
    <row r="50" spans="2:22" ht="15.75" x14ac:dyDescent="0.25">
      <c r="B50" s="46">
        <f t="shared" si="19"/>
        <v>50</v>
      </c>
      <c r="C50" s="58">
        <f t="shared" si="10"/>
        <v>12183.100134115011</v>
      </c>
      <c r="D50" s="58">
        <f t="shared" si="11"/>
        <v>13910.605439912164</v>
      </c>
      <c r="E50" s="58">
        <f t="shared" si="12"/>
        <v>15884.21618186156</v>
      </c>
      <c r="F50" s="58">
        <f t="shared" si="13"/>
        <v>18136.522034274069</v>
      </c>
      <c r="R50" s="46">
        <f t="shared" si="14"/>
        <v>50</v>
      </c>
      <c r="S50" s="49">
        <f t="shared" si="15"/>
        <v>13344.823168845223</v>
      </c>
      <c r="T50" s="49">
        <f t="shared" si="16"/>
        <v>15625.928349721071</v>
      </c>
      <c r="U50" s="49">
        <f t="shared" si="17"/>
        <v>18298.536876338076</v>
      </c>
      <c r="V50" s="49">
        <f t="shared" si="18"/>
        <v>21426.408017299367</v>
      </c>
    </row>
    <row r="51" spans="2:22" ht="15.75" x14ac:dyDescent="0.25">
      <c r="B51" s="46">
        <f t="shared" si="19"/>
        <v>55</v>
      </c>
      <c r="C51" s="58">
        <f t="shared" si="10"/>
        <v>9149.0764812757734</v>
      </c>
      <c r="D51" s="58">
        <f t="shared" si="11"/>
        <v>11238.517420827702</v>
      </c>
      <c r="E51" s="58">
        <f t="shared" si="12"/>
        <v>13806.694338496181</v>
      </c>
      <c r="F51" s="58">
        <f t="shared" si="13"/>
        <v>16959.829242305739</v>
      </c>
      <c r="R51" s="46">
        <f t="shared" si="14"/>
        <v>55</v>
      </c>
      <c r="S51" s="49">
        <f t="shared" si="15"/>
        <v>9636.4134881568752</v>
      </c>
      <c r="T51" s="49">
        <f t="shared" si="16"/>
        <v>12290.994319358457</v>
      </c>
      <c r="U51" s="49">
        <f t="shared" si="17"/>
        <v>15678.932109348585</v>
      </c>
      <c r="V51" s="49">
        <f t="shared" si="18"/>
        <v>19998.069377829212</v>
      </c>
    </row>
    <row r="52" spans="2:22" ht="15.75" x14ac:dyDescent="0.25">
      <c r="B52" s="46">
        <f t="shared" si="19"/>
        <v>60</v>
      </c>
      <c r="C52" s="58">
        <f t="shared" si="10"/>
        <v>6131.7176321898578</v>
      </c>
      <c r="D52" s="58">
        <f t="shared" si="11"/>
        <v>8302.2359737984189</v>
      </c>
      <c r="E52" s="58">
        <f t="shared" si="12"/>
        <v>11242.944743821075</v>
      </c>
      <c r="F52" s="58">
        <f t="shared" si="13"/>
        <v>15222.746039961326</v>
      </c>
      <c r="R52" s="46">
        <f t="shared" si="14"/>
        <v>60</v>
      </c>
      <c r="S52" s="49">
        <f t="shared" si="15"/>
        <v>6266.2199142083618</v>
      </c>
      <c r="T52" s="49">
        <f t="shared" si="16"/>
        <v>8931.1948925490324</v>
      </c>
      <c r="U52" s="49">
        <f t="shared" si="17"/>
        <v>12732.033867304426</v>
      </c>
      <c r="V52" s="49">
        <f t="shared" si="18"/>
        <v>18146.869628624638</v>
      </c>
    </row>
    <row r="53" spans="2:22" ht="15.75" x14ac:dyDescent="0.25">
      <c r="B53" s="46">
        <f t="shared" si="19"/>
        <v>65</v>
      </c>
      <c r="C53" s="58">
        <f t="shared" si="10"/>
        <v>3695.9691191161837</v>
      </c>
      <c r="D53" s="58">
        <f t="shared" si="11"/>
        <v>5495.1157434200441</v>
      </c>
      <c r="E53" s="58">
        <f t="shared" si="12"/>
        <v>8171.8368221910941</v>
      </c>
      <c r="F53" s="58">
        <f t="shared" si="13"/>
        <v>12149.773909642425</v>
      </c>
      <c r="R53" s="46">
        <f t="shared" si="14"/>
        <v>65</v>
      </c>
      <c r="S53" s="49">
        <f t="shared" si="15"/>
        <v>3961.1943644689873</v>
      </c>
      <c r="T53" s="49">
        <f t="shared" si="16"/>
        <v>6012.5145464500911</v>
      </c>
      <c r="U53" s="49">
        <f t="shared" si="17"/>
        <v>9128.2048435385932</v>
      </c>
      <c r="V53" s="49">
        <f t="shared" si="18"/>
        <v>13855.281855655501</v>
      </c>
    </row>
    <row r="54" spans="2:22" ht="15.75" x14ac:dyDescent="0.25">
      <c r="B54" s="46">
        <f t="shared" si="19"/>
        <v>70</v>
      </c>
      <c r="C54" s="58">
        <f t="shared" si="10"/>
        <v>2154.5342188944419</v>
      </c>
      <c r="D54" s="58">
        <f t="shared" si="11"/>
        <v>3306.0996528267974</v>
      </c>
      <c r="E54" s="58">
        <f t="shared" si="12"/>
        <v>5074.3489051020197</v>
      </c>
      <c r="F54" s="58">
        <f t="shared" si="13"/>
        <v>7786.5104236257012</v>
      </c>
      <c r="R54" s="46">
        <f t="shared" si="14"/>
        <v>70</v>
      </c>
      <c r="S54" s="49">
        <f t="shared" si="15"/>
        <v>2557.5248384308625</v>
      </c>
      <c r="T54" s="49">
        <f t="shared" si="16"/>
        <v>3745.1728312897653</v>
      </c>
      <c r="U54" s="49">
        <f t="shared" si="17"/>
        <v>5485.4793777911009</v>
      </c>
      <c r="V54" s="49">
        <f t="shared" si="18"/>
        <v>8032.7932787186819</v>
      </c>
    </row>
    <row r="55" spans="2:22" ht="15.75" x14ac:dyDescent="0.25">
      <c r="B55" s="46">
        <f t="shared" si="19"/>
        <v>75</v>
      </c>
      <c r="C55" s="58">
        <f t="shared" si="10"/>
        <v>1283.5939759622152</v>
      </c>
      <c r="D55" s="58">
        <f t="shared" si="11"/>
        <v>1856.2879297003121</v>
      </c>
      <c r="E55" s="58">
        <f t="shared" si="12"/>
        <v>2685.0399611984221</v>
      </c>
      <c r="F55" s="58">
        <f t="shared" si="13"/>
        <v>3883.0092412979234</v>
      </c>
      <c r="R55" s="46">
        <f t="shared" si="14"/>
        <v>75</v>
      </c>
      <c r="S55" s="49">
        <f t="shared" si="15"/>
        <v>1698.3480137290214</v>
      </c>
      <c r="T55" s="49">
        <f t="shared" si="16"/>
        <v>2264.338745349432</v>
      </c>
      <c r="U55" s="49">
        <f t="shared" si="17"/>
        <v>3019.4268805425254</v>
      </c>
      <c r="V55" s="49">
        <f t="shared" si="18"/>
        <v>4025.6797894738688</v>
      </c>
    </row>
    <row r="56" spans="2:22" ht="15.75" x14ac:dyDescent="0.25">
      <c r="B56" s="46">
        <f t="shared" si="19"/>
        <v>80</v>
      </c>
      <c r="C56" s="58">
        <f t="shared" si="10"/>
        <v>706.9354270883623</v>
      </c>
      <c r="D56" s="58">
        <f t="shared" si="11"/>
        <v>997.95081397472927</v>
      </c>
      <c r="E56" s="58">
        <f t="shared" si="12"/>
        <v>1409.0309275339387</v>
      </c>
      <c r="F56" s="58">
        <f t="shared" si="13"/>
        <v>1989.0693084084232</v>
      </c>
      <c r="R56" s="46">
        <f t="shared" si="14"/>
        <v>80</v>
      </c>
      <c r="S56" s="49">
        <f t="shared" si="15"/>
        <v>1098.913968546439</v>
      </c>
      <c r="T56" s="49">
        <f t="shared" si="16"/>
        <v>1413.670359457238</v>
      </c>
      <c r="U56" s="49">
        <f t="shared" si="17"/>
        <v>1818.8316984240287</v>
      </c>
      <c r="V56" s="49">
        <f t="shared" si="18"/>
        <v>2339.7904972527954</v>
      </c>
    </row>
    <row r="57" spans="2:22" ht="15.75" x14ac:dyDescent="0.25">
      <c r="B57" s="46">
        <f t="shared" si="19"/>
        <v>85</v>
      </c>
      <c r="C57" s="58">
        <f t="shared" si="10"/>
        <v>506.77963239229319</v>
      </c>
      <c r="D57" s="58">
        <f t="shared" si="11"/>
        <v>684.5035834537573</v>
      </c>
      <c r="E57" s="58">
        <f t="shared" si="12"/>
        <v>924.70626200867173</v>
      </c>
      <c r="F57" s="58">
        <f t="shared" si="13"/>
        <v>1248.9940588162647</v>
      </c>
      <c r="R57" s="46">
        <f t="shared" si="14"/>
        <v>85</v>
      </c>
      <c r="S57" s="49">
        <f t="shared" si="15"/>
        <v>883.50147951542499</v>
      </c>
      <c r="T57" s="49">
        <f t="shared" si="16"/>
        <v>1205.7388275457736</v>
      </c>
      <c r="U57" s="49">
        <f t="shared" si="17"/>
        <v>1645.7852622763319</v>
      </c>
      <c r="V57" s="49">
        <f t="shared" si="18"/>
        <v>2246.0485223154992</v>
      </c>
    </row>
    <row r="60" spans="2:22" x14ac:dyDescent="0.25">
      <c r="B60" s="72" t="s">
        <v>34</v>
      </c>
      <c r="C60" s="72"/>
      <c r="D60" s="72"/>
      <c r="E60" s="72"/>
      <c r="F60" s="72"/>
    </row>
    <row r="61" spans="2:22" x14ac:dyDescent="0.25">
      <c r="B61" s="46" t="s">
        <v>31</v>
      </c>
      <c r="C61" s="47">
        <v>2010</v>
      </c>
      <c r="D61" s="47">
        <v>2015</v>
      </c>
      <c r="E61" s="47">
        <v>2020</v>
      </c>
      <c r="F61" s="47">
        <v>2025</v>
      </c>
    </row>
    <row r="62" spans="2:22" ht="15.75" x14ac:dyDescent="0.25">
      <c r="B62" s="46">
        <f>B39</f>
        <v>0</v>
      </c>
      <c r="C62" s="26">
        <f>C39+S39</f>
        <v>7771.7399957405214</v>
      </c>
      <c r="D62" s="26">
        <f t="shared" ref="D62:F77" si="20">D39+T39</f>
        <v>6924.4026646716902</v>
      </c>
      <c r="E62" s="26">
        <f t="shared" si="20"/>
        <v>6169.0941167785786</v>
      </c>
      <c r="F62" s="26">
        <f t="shared" si="20"/>
        <v>5496.5529599662186</v>
      </c>
    </row>
    <row r="63" spans="2:22" ht="15.75" x14ac:dyDescent="0.25">
      <c r="B63" s="46">
        <f t="shared" ref="B63:B80" si="21">B40</f>
        <v>1</v>
      </c>
      <c r="C63" s="26">
        <f t="shared" ref="C63:F78" si="22">C40+S40</f>
        <v>35639.719344075849</v>
      </c>
      <c r="D63" s="26">
        <f t="shared" si="20"/>
        <v>32342.783965374241</v>
      </c>
      <c r="E63" s="26">
        <f t="shared" si="20"/>
        <v>29349.432231243365</v>
      </c>
      <c r="F63" s="26">
        <f t="shared" si="20"/>
        <v>26634.672433367254</v>
      </c>
    </row>
    <row r="64" spans="2:22" ht="15.75" x14ac:dyDescent="0.25">
      <c r="B64" s="46">
        <f t="shared" si="21"/>
        <v>5</v>
      </c>
      <c r="C64" s="26">
        <f t="shared" si="22"/>
        <v>45858.878614405163</v>
      </c>
      <c r="D64" s="26">
        <f t="shared" si="20"/>
        <v>41788.483499591792</v>
      </c>
      <c r="E64" s="26">
        <f t="shared" si="20"/>
        <v>38078.571352381288</v>
      </c>
      <c r="F64" s="26">
        <f t="shared" si="20"/>
        <v>34700.819977319494</v>
      </c>
    </row>
    <row r="65" spans="2:6" ht="15.75" x14ac:dyDescent="0.25">
      <c r="B65" s="46">
        <f t="shared" si="21"/>
        <v>10</v>
      </c>
      <c r="C65" s="26">
        <f t="shared" si="22"/>
        <v>45233.51235904052</v>
      </c>
      <c r="D65" s="26">
        <f t="shared" si="20"/>
        <v>42800.583226091301</v>
      </c>
      <c r="E65" s="26">
        <f t="shared" si="20"/>
        <v>40498.213932833154</v>
      </c>
      <c r="F65" s="26">
        <f t="shared" si="20"/>
        <v>38321.733572790865</v>
      </c>
    </row>
    <row r="66" spans="2:6" ht="15.75" x14ac:dyDescent="0.25">
      <c r="B66" s="46">
        <f t="shared" si="21"/>
        <v>15</v>
      </c>
      <c r="C66" s="26">
        <f t="shared" si="22"/>
        <v>46704.952684267344</v>
      </c>
      <c r="D66" s="26">
        <f t="shared" si="20"/>
        <v>44350.465640196766</v>
      </c>
      <c r="E66" s="26">
        <f t="shared" si="20"/>
        <v>42116.076555834559</v>
      </c>
      <c r="F66" s="26">
        <f t="shared" si="20"/>
        <v>39997.852329649177</v>
      </c>
    </row>
    <row r="67" spans="2:6" ht="15.75" x14ac:dyDescent="0.25">
      <c r="B67" s="46">
        <f t="shared" si="21"/>
        <v>20</v>
      </c>
      <c r="C67" s="26">
        <f t="shared" si="22"/>
        <v>45944.69391579325</v>
      </c>
      <c r="D67" s="26">
        <f t="shared" si="20"/>
        <v>44313.173286626406</v>
      </c>
      <c r="E67" s="26">
        <f t="shared" si="20"/>
        <v>42740.259008850626</v>
      </c>
      <c r="F67" s="26">
        <f t="shared" si="20"/>
        <v>41225.453218746778</v>
      </c>
    </row>
    <row r="68" spans="2:6" ht="15.75" x14ac:dyDescent="0.25">
      <c r="B68" s="46">
        <f t="shared" si="21"/>
        <v>25</v>
      </c>
      <c r="C68" s="26">
        <f t="shared" si="22"/>
        <v>41317.543194626138</v>
      </c>
      <c r="D68" s="26">
        <f t="shared" si="20"/>
        <v>41750.33710354074</v>
      </c>
      <c r="E68" s="26">
        <f t="shared" si="20"/>
        <v>42190.607136392369</v>
      </c>
      <c r="F68" s="26">
        <f t="shared" si="20"/>
        <v>42638.004807754747</v>
      </c>
    </row>
    <row r="69" spans="2:6" ht="15.75" x14ac:dyDescent="0.25">
      <c r="B69" s="46">
        <f t="shared" si="21"/>
        <v>30</v>
      </c>
      <c r="C69" s="26">
        <f t="shared" si="22"/>
        <v>38529.758872485429</v>
      </c>
      <c r="D69" s="26">
        <f t="shared" si="20"/>
        <v>39368.587530901204</v>
      </c>
      <c r="E69" s="26">
        <f t="shared" si="20"/>
        <v>40233.086392966346</v>
      </c>
      <c r="F69" s="26">
        <f t="shared" si="20"/>
        <v>41123.169543549157</v>
      </c>
    </row>
    <row r="70" spans="2:6" ht="15.75" x14ac:dyDescent="0.25">
      <c r="B70" s="46">
        <f t="shared" si="21"/>
        <v>35</v>
      </c>
      <c r="C70" s="26">
        <f t="shared" si="22"/>
        <v>38418.066707956503</v>
      </c>
      <c r="D70" s="26">
        <f t="shared" si="20"/>
        <v>37981.952572309689</v>
      </c>
      <c r="E70" s="26">
        <f t="shared" si="20"/>
        <v>37553.535203137821</v>
      </c>
      <c r="F70" s="26">
        <f t="shared" si="20"/>
        <v>37133.129235987377</v>
      </c>
    </row>
    <row r="71" spans="2:6" ht="15.75" x14ac:dyDescent="0.25">
      <c r="B71" s="46">
        <f t="shared" si="21"/>
        <v>40</v>
      </c>
      <c r="C71" s="26">
        <f t="shared" si="22"/>
        <v>35903.872512672497</v>
      </c>
      <c r="D71" s="26">
        <f t="shared" si="20"/>
        <v>35886.685234029705</v>
      </c>
      <c r="E71" s="26">
        <f t="shared" si="20"/>
        <v>35869.649553642557</v>
      </c>
      <c r="F71" s="26">
        <f t="shared" si="20"/>
        <v>35852.783860276017</v>
      </c>
    </row>
    <row r="72" spans="2:6" ht="15.75" x14ac:dyDescent="0.25">
      <c r="B72" s="46">
        <f t="shared" si="21"/>
        <v>45</v>
      </c>
      <c r="C72" s="26">
        <f t="shared" si="22"/>
        <v>31065.081346791441</v>
      </c>
      <c r="D72" s="26">
        <f t="shared" si="20"/>
        <v>33412.620688798001</v>
      </c>
      <c r="E72" s="26">
        <f t="shared" si="20"/>
        <v>35942.090798964811</v>
      </c>
      <c r="F72" s="26">
        <f t="shared" si="20"/>
        <v>38664.833562843094</v>
      </c>
    </row>
    <row r="73" spans="2:6" ht="15.75" x14ac:dyDescent="0.25">
      <c r="B73" s="46">
        <f t="shared" si="21"/>
        <v>50</v>
      </c>
      <c r="C73" s="26">
        <f t="shared" si="22"/>
        <v>25527.923302960233</v>
      </c>
      <c r="D73" s="26">
        <f t="shared" si="20"/>
        <v>29536.533789633235</v>
      </c>
      <c r="E73" s="26">
        <f t="shared" si="20"/>
        <v>34182.75305819964</v>
      </c>
      <c r="F73" s="26">
        <f t="shared" si="20"/>
        <v>39562.930051573436</v>
      </c>
    </row>
    <row r="74" spans="2:6" ht="15.75" x14ac:dyDescent="0.25">
      <c r="B74" s="46">
        <f t="shared" si="21"/>
        <v>55</v>
      </c>
      <c r="C74" s="26">
        <f t="shared" si="22"/>
        <v>18785.489969432649</v>
      </c>
      <c r="D74" s="26">
        <f t="shared" si="20"/>
        <v>23529.511740186157</v>
      </c>
      <c r="E74" s="26">
        <f t="shared" si="20"/>
        <v>29485.626447844767</v>
      </c>
      <c r="F74" s="26">
        <f t="shared" si="20"/>
        <v>36957.898620134947</v>
      </c>
    </row>
    <row r="75" spans="2:6" ht="15.75" x14ac:dyDescent="0.25">
      <c r="B75" s="46">
        <f t="shared" si="21"/>
        <v>60</v>
      </c>
      <c r="C75" s="26">
        <f t="shared" si="22"/>
        <v>12397.93754639822</v>
      </c>
      <c r="D75" s="26">
        <f t="shared" si="20"/>
        <v>17233.430866347451</v>
      </c>
      <c r="E75" s="26">
        <f t="shared" si="20"/>
        <v>23974.978611125502</v>
      </c>
      <c r="F75" s="26">
        <f t="shared" si="20"/>
        <v>33369.615668585961</v>
      </c>
    </row>
    <row r="76" spans="2:6" ht="15.75" x14ac:dyDescent="0.25">
      <c r="B76" s="46">
        <f t="shared" si="21"/>
        <v>65</v>
      </c>
      <c r="C76" s="26">
        <f t="shared" si="22"/>
        <v>7657.163483585171</v>
      </c>
      <c r="D76" s="26">
        <f t="shared" si="20"/>
        <v>11507.630289870136</v>
      </c>
      <c r="E76" s="26">
        <f t="shared" si="20"/>
        <v>17300.041665729688</v>
      </c>
      <c r="F76" s="26">
        <f t="shared" si="20"/>
        <v>26005.055765297926</v>
      </c>
    </row>
    <row r="77" spans="2:6" ht="15.75" x14ac:dyDescent="0.25">
      <c r="B77" s="46">
        <f t="shared" si="21"/>
        <v>70</v>
      </c>
      <c r="C77" s="26">
        <f t="shared" si="22"/>
        <v>4712.0590573253048</v>
      </c>
      <c r="D77" s="26">
        <f t="shared" si="20"/>
        <v>7051.2724841165627</v>
      </c>
      <c r="E77" s="26">
        <f t="shared" si="20"/>
        <v>10559.828282893121</v>
      </c>
      <c r="F77" s="26">
        <f t="shared" si="20"/>
        <v>15819.303702344383</v>
      </c>
    </row>
    <row r="78" spans="2:6" ht="15.75" x14ac:dyDescent="0.25">
      <c r="B78" s="46">
        <f t="shared" si="21"/>
        <v>75</v>
      </c>
      <c r="C78" s="26">
        <f t="shared" si="22"/>
        <v>2981.9419896912368</v>
      </c>
      <c r="D78" s="26">
        <f t="shared" si="22"/>
        <v>4120.6266750497443</v>
      </c>
      <c r="E78" s="26">
        <f t="shared" si="22"/>
        <v>5704.4668417409475</v>
      </c>
      <c r="F78" s="26">
        <f t="shared" si="22"/>
        <v>7908.6890307717922</v>
      </c>
    </row>
    <row r="79" spans="2:6" ht="15.75" x14ac:dyDescent="0.25">
      <c r="B79" s="46">
        <f t="shared" si="21"/>
        <v>80</v>
      </c>
      <c r="C79" s="26">
        <f t="shared" ref="C79:F80" si="23">C56+S56</f>
        <v>1805.8493956348013</v>
      </c>
      <c r="D79" s="26">
        <f t="shared" si="23"/>
        <v>2411.6211734319672</v>
      </c>
      <c r="E79" s="26">
        <f t="shared" si="23"/>
        <v>3227.8626259579673</v>
      </c>
      <c r="F79" s="26">
        <f t="shared" si="23"/>
        <v>4328.8598056612191</v>
      </c>
    </row>
    <row r="80" spans="2:6" ht="15.75" x14ac:dyDescent="0.25">
      <c r="B80" s="46">
        <f t="shared" si="21"/>
        <v>85</v>
      </c>
      <c r="C80" s="26">
        <f t="shared" si="23"/>
        <v>1390.2811119077182</v>
      </c>
      <c r="D80" s="26">
        <f t="shared" si="23"/>
        <v>1890.2424109995309</v>
      </c>
      <c r="E80" s="26">
        <f t="shared" si="23"/>
        <v>2570.4915242850038</v>
      </c>
      <c r="F80" s="26">
        <f t="shared" si="23"/>
        <v>3495.0425811317637</v>
      </c>
    </row>
  </sheetData>
  <mergeCells count="20">
    <mergeCell ref="A1:B1"/>
    <mergeCell ref="Z3:AB3"/>
    <mergeCell ref="B24:C24"/>
    <mergeCell ref="B25:C25"/>
    <mergeCell ref="B28:E28"/>
    <mergeCell ref="N30:P30"/>
    <mergeCell ref="R30:T30"/>
    <mergeCell ref="B3:C3"/>
    <mergeCell ref="E3:F3"/>
    <mergeCell ref="H3:I3"/>
    <mergeCell ref="K3:L3"/>
    <mergeCell ref="N3:P3"/>
    <mergeCell ref="R3:T3"/>
    <mergeCell ref="R31:T31"/>
    <mergeCell ref="B37:F37"/>
    <mergeCell ref="R37:V37"/>
    <mergeCell ref="B60:F60"/>
    <mergeCell ref="V3:X3"/>
    <mergeCell ref="E25:F25"/>
    <mergeCell ref="H25:I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Gráficas</vt:lpstr>
      <vt:lpstr>Geometrico</vt:lpstr>
      <vt:lpstr>Exponencial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DSI</dc:creator>
  <cp:lastModifiedBy>hp</cp:lastModifiedBy>
  <dcterms:created xsi:type="dcterms:W3CDTF">2026-03-23T22:00:32Z</dcterms:created>
  <dcterms:modified xsi:type="dcterms:W3CDTF">2026-03-27T22:47:27Z</dcterms:modified>
</cp:coreProperties>
</file>