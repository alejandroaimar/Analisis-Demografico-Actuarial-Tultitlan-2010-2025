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Escritorio\Excel Demografia\"/>
    </mc:Choice>
  </mc:AlternateContent>
  <bookViews>
    <workbookView xWindow="0" yWindow="0" windowWidth="18150" windowHeight="7305" activeTab="4"/>
  </bookViews>
  <sheets>
    <sheet name="Defunciones" sheetId="1" r:id="rId1"/>
    <sheet name="Nacimientos" sheetId="2" r:id="rId2"/>
    <sheet name="Poblacion" sheetId="3" r:id="rId3"/>
    <sheet name="Causas de Mortalidad" sheetId="4" r:id="rId4"/>
    <sheet name="Tablas de Vida" sheetId="5" r:id="rId5"/>
    <sheet name="Relaciones de Sobrevivencia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0" i="4" l="1"/>
  <c r="Y12" i="4"/>
  <c r="Y13" i="4"/>
  <c r="Y14" i="4"/>
  <c r="Y15" i="4"/>
  <c r="Y16" i="4"/>
  <c r="Y17" i="4"/>
  <c r="Y18" i="4"/>
  <c r="Y19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5" i="4"/>
  <c r="Y36" i="4"/>
  <c r="Y37" i="4"/>
  <c r="Y38" i="4"/>
  <c r="Y39" i="4"/>
  <c r="Y41" i="4"/>
  <c r="Y42" i="4"/>
  <c r="Y43" i="4"/>
  <c r="Y44" i="4"/>
  <c r="Y45" i="4"/>
  <c r="Y46" i="4"/>
  <c r="Y48" i="4"/>
  <c r="Y50" i="4"/>
  <c r="Y51" i="4"/>
  <c r="Y52" i="4"/>
  <c r="Y54" i="4"/>
  <c r="Y8" i="4"/>
  <c r="W12" i="4"/>
  <c r="W13" i="4"/>
  <c r="W14" i="4"/>
  <c r="W15" i="4"/>
  <c r="W16" i="4"/>
  <c r="W17" i="4"/>
  <c r="W18" i="4"/>
  <c r="W19" i="4"/>
  <c r="W20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8" i="4"/>
  <c r="W39" i="4"/>
  <c r="W42" i="4"/>
  <c r="W43" i="4"/>
  <c r="W44" i="4"/>
  <c r="W45" i="4"/>
  <c r="W46" i="4"/>
  <c r="W48" i="4"/>
  <c r="W51" i="4"/>
  <c r="W52" i="4"/>
  <c r="W8" i="4"/>
  <c r="N9" i="4"/>
  <c r="N10" i="4"/>
  <c r="N11" i="4"/>
  <c r="N12" i="4"/>
  <c r="N13" i="4"/>
  <c r="N14" i="4"/>
  <c r="N15" i="4"/>
  <c r="N16" i="4"/>
  <c r="N17" i="4"/>
  <c r="N18" i="4"/>
  <c r="N19" i="4"/>
  <c r="N21" i="4"/>
  <c r="N22" i="4"/>
  <c r="N23" i="4"/>
  <c r="N24" i="4"/>
  <c r="N25" i="4"/>
  <c r="N26" i="4"/>
  <c r="N27" i="4"/>
  <c r="N29" i="4"/>
  <c r="N30" i="4"/>
  <c r="N31" i="4"/>
  <c r="N32" i="4"/>
  <c r="N33" i="4"/>
  <c r="N35" i="4"/>
  <c r="N36" i="4"/>
  <c r="N37" i="4"/>
  <c r="N38" i="4"/>
  <c r="N39" i="4"/>
  <c r="N40" i="4"/>
  <c r="N43" i="4"/>
  <c r="N44" i="4"/>
  <c r="N46" i="4"/>
  <c r="N47" i="4"/>
  <c r="N48" i="4"/>
  <c r="N49" i="4"/>
  <c r="N50" i="4"/>
  <c r="N51" i="4"/>
  <c r="N52" i="4"/>
  <c r="N53" i="4"/>
  <c r="N8" i="4"/>
  <c r="L12" i="4"/>
  <c r="L13" i="4"/>
  <c r="L14" i="4"/>
  <c r="L15" i="4"/>
  <c r="L16" i="4"/>
  <c r="L17" i="4"/>
  <c r="L18" i="4"/>
  <c r="L19" i="4"/>
  <c r="L20" i="4"/>
  <c r="L22" i="4"/>
  <c r="L24" i="4"/>
  <c r="L25" i="4"/>
  <c r="L26" i="4"/>
  <c r="L27" i="4"/>
  <c r="L29" i="4"/>
  <c r="L30" i="4"/>
  <c r="L31" i="4"/>
  <c r="L32" i="4"/>
  <c r="L33" i="4"/>
  <c r="L35" i="4"/>
  <c r="L36" i="4"/>
  <c r="L38" i="4"/>
  <c r="L39" i="4"/>
  <c r="L40" i="4"/>
  <c r="L43" i="4"/>
  <c r="L44" i="4"/>
  <c r="L45" i="4"/>
  <c r="L46" i="4"/>
  <c r="L47" i="4"/>
  <c r="L48" i="4"/>
  <c r="L49" i="4"/>
  <c r="L50" i="4"/>
  <c r="L51" i="4"/>
  <c r="L52" i="4"/>
  <c r="L53" i="4"/>
  <c r="L8" i="4"/>
  <c r="L23" i="2"/>
  <c r="L24" i="2"/>
  <c r="L25" i="2"/>
  <c r="L26" i="2"/>
  <c r="L27" i="2"/>
  <c r="L28" i="2"/>
  <c r="L29" i="2"/>
  <c r="L22" i="2"/>
  <c r="AD14" i="4" l="1"/>
  <c r="AD18" i="4"/>
  <c r="AD23" i="4"/>
  <c r="AD27" i="4"/>
  <c r="AD31" i="4"/>
  <c r="AD36" i="4"/>
  <c r="AD41" i="4"/>
  <c r="AD45" i="4"/>
  <c r="AD51" i="4"/>
  <c r="S11" i="4"/>
  <c r="S15" i="4"/>
  <c r="S19" i="4"/>
  <c r="S24" i="4"/>
  <c r="S29" i="4"/>
  <c r="S33" i="4"/>
  <c r="S38" i="4"/>
  <c r="S46" i="4"/>
  <c r="S50" i="4"/>
  <c r="S8" i="4"/>
  <c r="Q15" i="4"/>
  <c r="Q19" i="4"/>
  <c r="Q25" i="4"/>
  <c r="Q30" i="4"/>
  <c r="Q35" i="4"/>
  <c r="Q40" i="4"/>
  <c r="Q46" i="4"/>
  <c r="Q50" i="4"/>
  <c r="Q8" i="4"/>
  <c r="G53" i="4"/>
  <c r="AD10" i="4" s="1"/>
  <c r="F53" i="4"/>
  <c r="S43" i="4" s="1"/>
  <c r="B53" i="4"/>
  <c r="Q12" i="4" s="1"/>
  <c r="C53" i="4"/>
  <c r="AB8" i="4" s="1"/>
  <c r="AB34" i="4" l="1"/>
  <c r="AB16" i="4"/>
  <c r="Q39" i="4"/>
  <c r="Q33" i="4"/>
  <c r="Q29" i="4"/>
  <c r="Q24" i="4"/>
  <c r="Q18" i="4"/>
  <c r="Q14" i="4"/>
  <c r="S53" i="4"/>
  <c r="S49" i="4"/>
  <c r="S44" i="4"/>
  <c r="S37" i="4"/>
  <c r="S32" i="4"/>
  <c r="S27" i="4"/>
  <c r="S23" i="4"/>
  <c r="S18" i="4"/>
  <c r="S14" i="4"/>
  <c r="S10" i="4"/>
  <c r="AB51" i="4"/>
  <c r="AB44" i="4"/>
  <c r="AB38" i="4"/>
  <c r="AB33" i="4"/>
  <c r="AB29" i="4"/>
  <c r="AB25" i="4"/>
  <c r="AB19" i="4"/>
  <c r="AB15" i="4"/>
  <c r="AD8" i="4"/>
  <c r="AD50" i="4"/>
  <c r="AD44" i="4"/>
  <c r="AD39" i="4"/>
  <c r="AD35" i="4"/>
  <c r="AD30" i="4"/>
  <c r="AD26" i="4"/>
  <c r="AD22" i="4"/>
  <c r="AD17" i="4"/>
  <c r="AD13" i="4"/>
  <c r="AB45" i="4"/>
  <c r="AB30" i="4"/>
  <c r="AB20" i="4"/>
  <c r="AB12" i="4"/>
  <c r="Q53" i="4"/>
  <c r="Q45" i="4"/>
  <c r="Q52" i="4"/>
  <c r="Q48" i="4"/>
  <c r="Q44" i="4"/>
  <c r="Q38" i="4"/>
  <c r="Q32" i="4"/>
  <c r="Q27" i="4"/>
  <c r="Q22" i="4"/>
  <c r="Q17" i="4"/>
  <c r="Q13" i="4"/>
  <c r="S52" i="4"/>
  <c r="S48" i="4"/>
  <c r="S40" i="4"/>
  <c r="S36" i="4"/>
  <c r="S31" i="4"/>
  <c r="S26" i="4"/>
  <c r="S22" i="4"/>
  <c r="S17" i="4"/>
  <c r="S13" i="4"/>
  <c r="S9" i="4"/>
  <c r="AB48" i="4"/>
  <c r="AB43" i="4"/>
  <c r="AB36" i="4"/>
  <c r="AB32" i="4"/>
  <c r="AB28" i="4"/>
  <c r="AB24" i="4"/>
  <c r="AB18" i="4"/>
  <c r="AB14" i="4"/>
  <c r="AD54" i="4"/>
  <c r="AD48" i="4"/>
  <c r="AD43" i="4"/>
  <c r="AD38" i="4"/>
  <c r="AD33" i="4"/>
  <c r="AD29" i="4"/>
  <c r="AD25" i="4"/>
  <c r="AD21" i="4"/>
  <c r="AD16" i="4"/>
  <c r="AD12" i="4"/>
  <c r="AB52" i="4"/>
  <c r="AB39" i="4"/>
  <c r="AB26" i="4"/>
  <c r="Q49" i="4"/>
  <c r="Q51" i="4"/>
  <c r="Q47" i="4"/>
  <c r="Q43" i="4"/>
  <c r="Q36" i="4"/>
  <c r="Q31" i="4"/>
  <c r="Q26" i="4"/>
  <c r="Q20" i="4"/>
  <c r="Q16" i="4"/>
  <c r="S51" i="4"/>
  <c r="S47" i="4"/>
  <c r="S39" i="4"/>
  <c r="S35" i="4"/>
  <c r="S30" i="4"/>
  <c r="S25" i="4"/>
  <c r="S21" i="4"/>
  <c r="S16" i="4"/>
  <c r="S12" i="4"/>
  <c r="AB46" i="4"/>
  <c r="AB42" i="4"/>
  <c r="AB35" i="4"/>
  <c r="AB31" i="4"/>
  <c r="AB27" i="4"/>
  <c r="AB23" i="4"/>
  <c r="AB17" i="4"/>
  <c r="AB13" i="4"/>
  <c r="AD52" i="4"/>
  <c r="AD46" i="4"/>
  <c r="AD42" i="4"/>
  <c r="AD37" i="4"/>
  <c r="AD32" i="4"/>
  <c r="AD28" i="4"/>
  <c r="AD24" i="4"/>
  <c r="AD19" i="4"/>
  <c r="AD15" i="4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T47" i="5"/>
  <c r="W65" i="5"/>
  <c r="X65" i="5" s="1"/>
  <c r="E47" i="5"/>
  <c r="D48" i="5"/>
  <c r="D49" i="5"/>
  <c r="F49" i="5" s="1"/>
  <c r="G49" i="5" s="1"/>
  <c r="H49" i="5" s="1"/>
  <c r="I49" i="5" s="1"/>
  <c r="D50" i="5"/>
  <c r="F50" i="5" s="1"/>
  <c r="G50" i="5" s="1"/>
  <c r="H50" i="5" s="1"/>
  <c r="I50" i="5" s="1"/>
  <c r="D51" i="5"/>
  <c r="D52" i="5"/>
  <c r="D53" i="5"/>
  <c r="D54" i="5"/>
  <c r="F54" i="5" s="1"/>
  <c r="G54" i="5" s="1"/>
  <c r="H54" i="5" s="1"/>
  <c r="I54" i="5" s="1"/>
  <c r="D55" i="5"/>
  <c r="D56" i="5"/>
  <c r="D57" i="5"/>
  <c r="F57" i="5" s="1"/>
  <c r="G57" i="5" s="1"/>
  <c r="H57" i="5" s="1"/>
  <c r="I57" i="5" s="1"/>
  <c r="D58" i="5"/>
  <c r="F58" i="5" s="1"/>
  <c r="G58" i="5" s="1"/>
  <c r="H58" i="5" s="1"/>
  <c r="I58" i="5" s="1"/>
  <c r="D59" i="5"/>
  <c r="D60" i="5"/>
  <c r="D61" i="5"/>
  <c r="F61" i="5" s="1"/>
  <c r="G61" i="5" s="1"/>
  <c r="H61" i="5" s="1"/>
  <c r="I61" i="5" s="1"/>
  <c r="D62" i="5"/>
  <c r="D63" i="5"/>
  <c r="D64" i="5"/>
  <c r="D65" i="5"/>
  <c r="F65" i="5" s="1"/>
  <c r="G65" i="5" s="1"/>
  <c r="D47" i="5"/>
  <c r="H65" i="5"/>
  <c r="I65" i="5" s="1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6" i="5"/>
  <c r="W24" i="5"/>
  <c r="X24" i="5" s="1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6" i="5"/>
  <c r="H24" i="5"/>
  <c r="I24" i="5" s="1"/>
  <c r="C22" i="2"/>
  <c r="J30" i="2"/>
  <c r="I30" i="2"/>
  <c r="H30" i="2"/>
  <c r="G30" i="2"/>
  <c r="F30" i="2"/>
  <c r="E30" i="2"/>
  <c r="D30" i="2"/>
  <c r="C30" i="2"/>
  <c r="K29" i="2"/>
  <c r="J29" i="2"/>
  <c r="I29" i="2"/>
  <c r="H29" i="2"/>
  <c r="G29" i="2"/>
  <c r="F29" i="2"/>
  <c r="E29" i="2"/>
  <c r="D29" i="2"/>
  <c r="C29" i="2"/>
  <c r="K28" i="2"/>
  <c r="J28" i="2"/>
  <c r="F43" i="2" s="1"/>
  <c r="F57" i="2" s="1"/>
  <c r="I28" i="2"/>
  <c r="H28" i="2"/>
  <c r="G28" i="2"/>
  <c r="F28" i="2"/>
  <c r="E28" i="2"/>
  <c r="D28" i="2"/>
  <c r="C28" i="2"/>
  <c r="K27" i="2"/>
  <c r="J27" i="2"/>
  <c r="I27" i="2"/>
  <c r="H27" i="2"/>
  <c r="G27" i="2"/>
  <c r="F27" i="2"/>
  <c r="E27" i="2"/>
  <c r="D27" i="2"/>
  <c r="C27" i="2"/>
  <c r="K26" i="2"/>
  <c r="J26" i="2"/>
  <c r="F41" i="2" s="1"/>
  <c r="F55" i="2" s="1"/>
  <c r="I26" i="2"/>
  <c r="H26" i="2"/>
  <c r="G26" i="2"/>
  <c r="F26" i="2"/>
  <c r="E26" i="2"/>
  <c r="D26" i="2"/>
  <c r="C26" i="2"/>
  <c r="K25" i="2"/>
  <c r="J25" i="2"/>
  <c r="I25" i="2"/>
  <c r="H25" i="2"/>
  <c r="G25" i="2"/>
  <c r="F25" i="2"/>
  <c r="E25" i="2"/>
  <c r="D25" i="2"/>
  <c r="C25" i="2"/>
  <c r="K24" i="2"/>
  <c r="J24" i="2"/>
  <c r="F39" i="2" s="1"/>
  <c r="F53" i="2" s="1"/>
  <c r="I24" i="2"/>
  <c r="H24" i="2"/>
  <c r="G24" i="2"/>
  <c r="F24" i="2"/>
  <c r="E24" i="2"/>
  <c r="D24" i="2"/>
  <c r="C24" i="2"/>
  <c r="K23" i="2"/>
  <c r="J23" i="2"/>
  <c r="I23" i="2"/>
  <c r="H23" i="2"/>
  <c r="G23" i="2"/>
  <c r="F23" i="2"/>
  <c r="E23" i="2"/>
  <c r="D23" i="2"/>
  <c r="C23" i="2"/>
  <c r="K22" i="2"/>
  <c r="J22" i="2"/>
  <c r="F37" i="2" s="1"/>
  <c r="I22" i="2"/>
  <c r="H22" i="2"/>
  <c r="G22" i="2"/>
  <c r="F22" i="2"/>
  <c r="E22" i="2"/>
  <c r="D22" i="2"/>
  <c r="F33" i="1"/>
  <c r="E33" i="1"/>
  <c r="H33" i="1"/>
  <c r="I33" i="1"/>
  <c r="H25" i="3"/>
  <c r="E25" i="3"/>
  <c r="D38" i="2" l="1"/>
  <c r="Q9" i="1"/>
  <c r="AC6" i="1" s="1"/>
  <c r="R11" i="1"/>
  <c r="R15" i="1"/>
  <c r="R19" i="1"/>
  <c r="R23" i="1"/>
  <c r="R8" i="1"/>
  <c r="R26" i="1"/>
  <c r="R12" i="1"/>
  <c r="R16" i="1"/>
  <c r="R20" i="1"/>
  <c r="R24" i="1"/>
  <c r="R10" i="1"/>
  <c r="R14" i="1"/>
  <c r="R18" i="1"/>
  <c r="R9" i="1"/>
  <c r="P9" i="1" s="1"/>
  <c r="R13" i="1"/>
  <c r="R17" i="1"/>
  <c r="R21" i="1"/>
  <c r="R25" i="1"/>
  <c r="R22" i="1"/>
  <c r="E38" i="2"/>
  <c r="F45" i="2"/>
  <c r="E40" i="2"/>
  <c r="E54" i="2" s="1"/>
  <c r="E42" i="2"/>
  <c r="E56" i="2" s="1"/>
  <c r="E44" i="2"/>
  <c r="F38" i="2"/>
  <c r="F52" i="2" s="1"/>
  <c r="F40" i="2"/>
  <c r="F54" i="2" s="1"/>
  <c r="F42" i="2"/>
  <c r="F56" i="2" s="1"/>
  <c r="F44" i="2"/>
  <c r="E37" i="2"/>
  <c r="E39" i="2"/>
  <c r="E53" i="2" s="1"/>
  <c r="E41" i="2"/>
  <c r="E55" i="2" s="1"/>
  <c r="E43" i="2"/>
  <c r="E57" i="2" s="1"/>
  <c r="E45" i="2"/>
  <c r="D42" i="2"/>
  <c r="D56" i="2" s="1"/>
  <c r="D40" i="2"/>
  <c r="D54" i="2" s="1"/>
  <c r="D44" i="2"/>
  <c r="D43" i="2"/>
  <c r="D57" i="2" s="1"/>
  <c r="D45" i="2"/>
  <c r="D37" i="2"/>
  <c r="D39" i="2"/>
  <c r="D53" i="2" s="1"/>
  <c r="D41" i="2"/>
  <c r="D55" i="2" s="1"/>
  <c r="C41" i="2"/>
  <c r="C55" i="2" s="1"/>
  <c r="C39" i="2"/>
  <c r="C53" i="2" s="1"/>
  <c r="C43" i="2"/>
  <c r="C57" i="2" s="1"/>
  <c r="C45" i="2"/>
  <c r="C38" i="2"/>
  <c r="C40" i="2"/>
  <c r="C54" i="2" s="1"/>
  <c r="C42" i="2"/>
  <c r="C56" i="2" s="1"/>
  <c r="C44" i="2"/>
  <c r="C58" i="2" s="1"/>
  <c r="C37" i="2"/>
  <c r="C52" i="2" s="1"/>
  <c r="D52" i="2"/>
  <c r="F60" i="5"/>
  <c r="G60" i="5" s="1"/>
  <c r="H60" i="5" s="1"/>
  <c r="I60" i="5" s="1"/>
  <c r="F62" i="5"/>
  <c r="G62" i="5" s="1"/>
  <c r="H62" i="5" s="1"/>
  <c r="I62" i="5" s="1"/>
  <c r="F64" i="5"/>
  <c r="G64" i="5" s="1"/>
  <c r="H64" i="5" s="1"/>
  <c r="I64" i="5" s="1"/>
  <c r="F56" i="5"/>
  <c r="G56" i="5" s="1"/>
  <c r="H56" i="5" s="1"/>
  <c r="I56" i="5" s="1"/>
  <c r="F52" i="5"/>
  <c r="G52" i="5" s="1"/>
  <c r="H52" i="5" s="1"/>
  <c r="I52" i="5" s="1"/>
  <c r="F48" i="5"/>
  <c r="G48" i="5" s="1"/>
  <c r="H48" i="5" s="1"/>
  <c r="I48" i="5" s="1"/>
  <c r="F53" i="5"/>
  <c r="G53" i="5" s="1"/>
  <c r="H53" i="5" s="1"/>
  <c r="I53" i="5" s="1"/>
  <c r="F47" i="5"/>
  <c r="F63" i="5"/>
  <c r="G63" i="5" s="1"/>
  <c r="H63" i="5" s="1"/>
  <c r="I63" i="5" s="1"/>
  <c r="F55" i="5"/>
  <c r="G55" i="5" s="1"/>
  <c r="H55" i="5" s="1"/>
  <c r="I55" i="5" s="1"/>
  <c r="F51" i="5"/>
  <c r="G51" i="5" s="1"/>
  <c r="H51" i="5" s="1"/>
  <c r="I51" i="5" s="1"/>
  <c r="F59" i="5"/>
  <c r="G59" i="5" s="1"/>
  <c r="H59" i="5" s="1"/>
  <c r="I59" i="5" s="1"/>
  <c r="Q24" i="1"/>
  <c r="Q20" i="1"/>
  <c r="Q16" i="1"/>
  <c r="Q12" i="1"/>
  <c r="Q19" i="1"/>
  <c r="Q11" i="1"/>
  <c r="Q8" i="1"/>
  <c r="V8" i="1" s="1"/>
  <c r="Q26" i="1"/>
  <c r="Q22" i="1"/>
  <c r="Q18" i="1"/>
  <c r="Q14" i="1"/>
  <c r="Q10" i="1"/>
  <c r="Q23" i="1"/>
  <c r="Q15" i="1"/>
  <c r="Q25" i="1"/>
  <c r="Q21" i="1"/>
  <c r="Q17" i="1"/>
  <c r="Q13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8" i="1"/>
  <c r="O26" i="1"/>
  <c r="N26" i="1"/>
  <c r="O25" i="1"/>
  <c r="N25" i="1"/>
  <c r="O24" i="1"/>
  <c r="N24" i="1"/>
  <c r="O23" i="1"/>
  <c r="N23" i="1"/>
  <c r="D21" i="5" s="1"/>
  <c r="F21" i="5" s="1"/>
  <c r="G21" i="5" s="1"/>
  <c r="H21" i="5" s="1"/>
  <c r="I21" i="5" s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W8" i="1" l="1"/>
  <c r="S6" i="5"/>
  <c r="U6" i="5" s="1"/>
  <c r="U8" i="1"/>
  <c r="D6" i="5"/>
  <c r="F6" i="5" s="1"/>
  <c r="T8" i="1"/>
  <c r="AB6" i="1"/>
  <c r="AN10" i="1" s="1"/>
  <c r="S7" i="5"/>
  <c r="U7" i="5" s="1"/>
  <c r="V7" i="5" s="1"/>
  <c r="W7" i="5" s="1"/>
  <c r="X7" i="5" s="1"/>
  <c r="AB10" i="1"/>
  <c r="AN14" i="1" s="1"/>
  <c r="S11" i="5"/>
  <c r="U11" i="5" s="1"/>
  <c r="V11" i="5" s="1"/>
  <c r="W11" i="5" s="1"/>
  <c r="X11" i="5" s="1"/>
  <c r="AB14" i="1"/>
  <c r="AN18" i="1" s="1"/>
  <c r="S15" i="5"/>
  <c r="U15" i="5" s="1"/>
  <c r="V15" i="5" s="1"/>
  <c r="W15" i="5" s="1"/>
  <c r="X15" i="5" s="1"/>
  <c r="AB18" i="1"/>
  <c r="AN22" i="1" s="1"/>
  <c r="S19" i="5"/>
  <c r="U19" i="5" s="1"/>
  <c r="V19" i="5" s="1"/>
  <c r="W19" i="5" s="1"/>
  <c r="X19" i="5" s="1"/>
  <c r="AB22" i="1"/>
  <c r="AN26" i="1" s="1"/>
  <c r="S23" i="5"/>
  <c r="U23" i="5" s="1"/>
  <c r="V23" i="5" s="1"/>
  <c r="W23" i="5" s="1"/>
  <c r="X23" i="5" s="1"/>
  <c r="S47" i="5"/>
  <c r="U47" i="5" s="1"/>
  <c r="AD5" i="1"/>
  <c r="AA9" i="1"/>
  <c r="AM13" i="1" s="1"/>
  <c r="D10" i="5"/>
  <c r="F10" i="5" s="1"/>
  <c r="G10" i="5" s="1"/>
  <c r="H10" i="5" s="1"/>
  <c r="I10" i="5" s="1"/>
  <c r="AA13" i="1"/>
  <c r="AM17" i="1" s="1"/>
  <c r="D14" i="5"/>
  <c r="F14" i="5" s="1"/>
  <c r="G14" i="5" s="1"/>
  <c r="H14" i="5" s="1"/>
  <c r="I14" i="5" s="1"/>
  <c r="AA17" i="1"/>
  <c r="AM21" i="1" s="1"/>
  <c r="D18" i="5"/>
  <c r="F18" i="5" s="1"/>
  <c r="G18" i="5" s="1"/>
  <c r="H18" i="5" s="1"/>
  <c r="I18" i="5" s="1"/>
  <c r="AA21" i="1"/>
  <c r="AM25" i="1" s="1"/>
  <c r="D22" i="5"/>
  <c r="F22" i="5" s="1"/>
  <c r="G22" i="5" s="1"/>
  <c r="H22" i="5" s="1"/>
  <c r="I22" i="5" s="1"/>
  <c r="S55" i="5"/>
  <c r="U55" i="5" s="1"/>
  <c r="V55" i="5" s="1"/>
  <c r="W55" i="5" s="1"/>
  <c r="X55" i="5" s="1"/>
  <c r="AD13" i="1"/>
  <c r="AA6" i="1"/>
  <c r="AM10" i="1" s="1"/>
  <c r="D7" i="5"/>
  <c r="F7" i="5" s="1"/>
  <c r="G7" i="5" s="1"/>
  <c r="H7" i="5" s="1"/>
  <c r="I7" i="5" s="1"/>
  <c r="AA8" i="1"/>
  <c r="AM12" i="1" s="1"/>
  <c r="D9" i="5"/>
  <c r="F9" i="5" s="1"/>
  <c r="G9" i="5" s="1"/>
  <c r="H9" i="5" s="1"/>
  <c r="I9" i="5" s="1"/>
  <c r="AA10" i="1"/>
  <c r="AM14" i="1" s="1"/>
  <c r="D11" i="5"/>
  <c r="F11" i="5" s="1"/>
  <c r="G11" i="5" s="1"/>
  <c r="H11" i="5" s="1"/>
  <c r="I11" i="5" s="1"/>
  <c r="AA12" i="1"/>
  <c r="AM16" i="1" s="1"/>
  <c r="D13" i="5"/>
  <c r="F13" i="5" s="1"/>
  <c r="G13" i="5" s="1"/>
  <c r="H13" i="5" s="1"/>
  <c r="I13" i="5" s="1"/>
  <c r="AA14" i="1"/>
  <c r="AM18" i="1" s="1"/>
  <c r="D15" i="5"/>
  <c r="F15" i="5" s="1"/>
  <c r="G15" i="5" s="1"/>
  <c r="H15" i="5" s="1"/>
  <c r="I15" i="5" s="1"/>
  <c r="AA16" i="1"/>
  <c r="AM20" i="1" s="1"/>
  <c r="D17" i="5"/>
  <c r="F17" i="5" s="1"/>
  <c r="G17" i="5" s="1"/>
  <c r="H17" i="5" s="1"/>
  <c r="I17" i="5" s="1"/>
  <c r="AA18" i="1"/>
  <c r="AM22" i="1" s="1"/>
  <c r="D19" i="5"/>
  <c r="F19" i="5" s="1"/>
  <c r="G19" i="5" s="1"/>
  <c r="H19" i="5" s="1"/>
  <c r="I19" i="5" s="1"/>
  <c r="AA22" i="1"/>
  <c r="AM26" i="1" s="1"/>
  <c r="D23" i="5"/>
  <c r="F23" i="5" s="1"/>
  <c r="G23" i="5" s="1"/>
  <c r="H23" i="5" s="1"/>
  <c r="I23" i="5" s="1"/>
  <c r="S64" i="5"/>
  <c r="U64" i="5" s="1"/>
  <c r="V64" i="5" s="1"/>
  <c r="W64" i="5" s="1"/>
  <c r="X64" i="5" s="1"/>
  <c r="AD22" i="1"/>
  <c r="S48" i="5"/>
  <c r="U48" i="5" s="1"/>
  <c r="V48" i="5" s="1"/>
  <c r="W48" i="5" s="1"/>
  <c r="X48" i="5" s="1"/>
  <c r="AD6" i="1"/>
  <c r="S63" i="5"/>
  <c r="U63" i="5" s="1"/>
  <c r="V63" i="5" s="1"/>
  <c r="W63" i="5" s="1"/>
  <c r="X63" i="5" s="1"/>
  <c r="AD21" i="1"/>
  <c r="S65" i="5"/>
  <c r="U65" i="5" s="1"/>
  <c r="V65" i="5" s="1"/>
  <c r="AD23" i="1"/>
  <c r="S54" i="5"/>
  <c r="U54" i="5" s="1"/>
  <c r="V54" i="5" s="1"/>
  <c r="W54" i="5" s="1"/>
  <c r="X54" i="5" s="1"/>
  <c r="AD12" i="1"/>
  <c r="AB8" i="1"/>
  <c r="AN12" i="1" s="1"/>
  <c r="S9" i="5"/>
  <c r="U9" i="5" s="1"/>
  <c r="V9" i="5" s="1"/>
  <c r="W9" i="5" s="1"/>
  <c r="X9" i="5" s="1"/>
  <c r="AB12" i="1"/>
  <c r="AN16" i="1" s="1"/>
  <c r="S13" i="5"/>
  <c r="U13" i="5" s="1"/>
  <c r="V13" i="5" s="1"/>
  <c r="W13" i="5" s="1"/>
  <c r="X13" i="5" s="1"/>
  <c r="AB16" i="1"/>
  <c r="AN20" i="1" s="1"/>
  <c r="S17" i="5"/>
  <c r="U17" i="5" s="1"/>
  <c r="V17" i="5" s="1"/>
  <c r="W17" i="5" s="1"/>
  <c r="X17" i="5" s="1"/>
  <c r="AB20" i="1"/>
  <c r="AN24" i="1" s="1"/>
  <c r="S21" i="5"/>
  <c r="U21" i="5" s="1"/>
  <c r="V21" i="5" s="1"/>
  <c r="W21" i="5" s="1"/>
  <c r="X21" i="5" s="1"/>
  <c r="S60" i="5"/>
  <c r="U60" i="5" s="1"/>
  <c r="V60" i="5" s="1"/>
  <c r="W60" i="5" s="1"/>
  <c r="X60" i="5" s="1"/>
  <c r="AD18" i="1"/>
  <c r="S57" i="5"/>
  <c r="U57" i="5" s="1"/>
  <c r="V57" i="5" s="1"/>
  <c r="W57" i="5" s="1"/>
  <c r="X57" i="5" s="1"/>
  <c r="AD15" i="1"/>
  <c r="S59" i="5"/>
  <c r="U59" i="5" s="1"/>
  <c r="V59" i="5" s="1"/>
  <c r="W59" i="5" s="1"/>
  <c r="X59" i="5" s="1"/>
  <c r="AD17" i="1"/>
  <c r="S50" i="5"/>
  <c r="U50" i="5" s="1"/>
  <c r="V50" i="5" s="1"/>
  <c r="W50" i="5" s="1"/>
  <c r="X50" i="5" s="1"/>
  <c r="AD8" i="1"/>
  <c r="AA7" i="1"/>
  <c r="AM11" i="1" s="1"/>
  <c r="D8" i="5"/>
  <c r="F8" i="5" s="1"/>
  <c r="G8" i="5" s="1"/>
  <c r="H8" i="5" s="1"/>
  <c r="I8" i="5" s="1"/>
  <c r="AA11" i="1"/>
  <c r="AM15" i="1" s="1"/>
  <c r="D12" i="5"/>
  <c r="F12" i="5" s="1"/>
  <c r="G12" i="5" s="1"/>
  <c r="H12" i="5" s="1"/>
  <c r="I12" i="5" s="1"/>
  <c r="AA15" i="1"/>
  <c r="AM19" i="1" s="1"/>
  <c r="D16" i="5"/>
  <c r="F16" i="5" s="1"/>
  <c r="G16" i="5" s="1"/>
  <c r="H16" i="5" s="1"/>
  <c r="I16" i="5" s="1"/>
  <c r="AA19" i="1"/>
  <c r="AM23" i="1" s="1"/>
  <c r="D20" i="5"/>
  <c r="F20" i="5" s="1"/>
  <c r="G20" i="5" s="1"/>
  <c r="H20" i="5" s="1"/>
  <c r="I20" i="5" s="1"/>
  <c r="AA23" i="1"/>
  <c r="AM27" i="1" s="1"/>
  <c r="D24" i="5"/>
  <c r="F24" i="5" s="1"/>
  <c r="G24" i="5" s="1"/>
  <c r="S56" i="5"/>
  <c r="U56" i="5" s="1"/>
  <c r="V56" i="5" s="1"/>
  <c r="W56" i="5" s="1"/>
  <c r="X56" i="5" s="1"/>
  <c r="AD14" i="1"/>
  <c r="S53" i="5"/>
  <c r="U53" i="5" s="1"/>
  <c r="V53" i="5" s="1"/>
  <c r="W53" i="5" s="1"/>
  <c r="X53" i="5" s="1"/>
  <c r="AD11" i="1"/>
  <c r="S62" i="5"/>
  <c r="U62" i="5" s="1"/>
  <c r="V62" i="5" s="1"/>
  <c r="W62" i="5" s="1"/>
  <c r="X62" i="5" s="1"/>
  <c r="AD20" i="1"/>
  <c r="AB7" i="1"/>
  <c r="AN11" i="1" s="1"/>
  <c r="S8" i="5"/>
  <c r="U8" i="5" s="1"/>
  <c r="V8" i="5" s="1"/>
  <c r="W8" i="5" s="1"/>
  <c r="X8" i="5" s="1"/>
  <c r="AB9" i="1"/>
  <c r="AN13" i="1" s="1"/>
  <c r="S10" i="5"/>
  <c r="U10" i="5" s="1"/>
  <c r="V10" i="5" s="1"/>
  <c r="W10" i="5" s="1"/>
  <c r="X10" i="5" s="1"/>
  <c r="AB11" i="1"/>
  <c r="AN15" i="1" s="1"/>
  <c r="S12" i="5"/>
  <c r="U12" i="5" s="1"/>
  <c r="V12" i="5" s="1"/>
  <c r="W12" i="5" s="1"/>
  <c r="X12" i="5" s="1"/>
  <c r="AB13" i="1"/>
  <c r="AN17" i="1" s="1"/>
  <c r="S14" i="5"/>
  <c r="U14" i="5" s="1"/>
  <c r="V14" i="5" s="1"/>
  <c r="W14" i="5" s="1"/>
  <c r="X14" i="5" s="1"/>
  <c r="AB15" i="1"/>
  <c r="AN19" i="1" s="1"/>
  <c r="S16" i="5"/>
  <c r="U16" i="5" s="1"/>
  <c r="V16" i="5" s="1"/>
  <c r="W16" i="5" s="1"/>
  <c r="X16" i="5" s="1"/>
  <c r="AB17" i="1"/>
  <c r="AN21" i="1" s="1"/>
  <c r="S18" i="5"/>
  <c r="U18" i="5" s="1"/>
  <c r="V18" i="5" s="1"/>
  <c r="W18" i="5" s="1"/>
  <c r="X18" i="5" s="1"/>
  <c r="AB19" i="1"/>
  <c r="AN23" i="1" s="1"/>
  <c r="S20" i="5"/>
  <c r="U20" i="5" s="1"/>
  <c r="V20" i="5" s="1"/>
  <c r="W20" i="5" s="1"/>
  <c r="X20" i="5" s="1"/>
  <c r="AB21" i="1"/>
  <c r="AN25" i="1" s="1"/>
  <c r="S22" i="5"/>
  <c r="U22" i="5" s="1"/>
  <c r="V22" i="5" s="1"/>
  <c r="W22" i="5" s="1"/>
  <c r="X22" i="5" s="1"/>
  <c r="AB23" i="1"/>
  <c r="AN27" i="1" s="1"/>
  <c r="S24" i="5"/>
  <c r="U24" i="5" s="1"/>
  <c r="V24" i="5" s="1"/>
  <c r="S61" i="5"/>
  <c r="U61" i="5" s="1"/>
  <c r="V61" i="5" s="1"/>
  <c r="W61" i="5" s="1"/>
  <c r="X61" i="5" s="1"/>
  <c r="AD19" i="1"/>
  <c r="S52" i="5"/>
  <c r="U52" i="5" s="1"/>
  <c r="V52" i="5" s="1"/>
  <c r="W52" i="5" s="1"/>
  <c r="X52" i="5" s="1"/>
  <c r="AD10" i="1"/>
  <c r="S49" i="5"/>
  <c r="U49" i="5" s="1"/>
  <c r="V49" i="5" s="1"/>
  <c r="W49" i="5" s="1"/>
  <c r="X49" i="5" s="1"/>
  <c r="AD7" i="1"/>
  <c r="S51" i="5"/>
  <c r="U51" i="5" s="1"/>
  <c r="V51" i="5" s="1"/>
  <c r="W51" i="5" s="1"/>
  <c r="X51" i="5" s="1"/>
  <c r="AD9" i="1"/>
  <c r="S58" i="5"/>
  <c r="U58" i="5" s="1"/>
  <c r="V58" i="5" s="1"/>
  <c r="W58" i="5" s="1"/>
  <c r="X58" i="5" s="1"/>
  <c r="AD16" i="1"/>
  <c r="E58" i="2"/>
  <c r="F58" i="2"/>
  <c r="F59" i="2" s="1"/>
  <c r="AJ5" i="1" s="1"/>
  <c r="V47" i="5" s="1"/>
  <c r="W47" i="5" s="1"/>
  <c r="Z47" i="5" s="1"/>
  <c r="E52" i="2"/>
  <c r="D58" i="2"/>
  <c r="D59" i="2"/>
  <c r="AH5" i="1" s="1"/>
  <c r="V6" i="5" s="1"/>
  <c r="W6" i="5" s="1"/>
  <c r="C59" i="2"/>
  <c r="AG5" i="1" s="1"/>
  <c r="G6" i="5" s="1"/>
  <c r="H6" i="5" s="1"/>
  <c r="P13" i="1"/>
  <c r="AC10" i="1"/>
  <c r="P15" i="1"/>
  <c r="AC12" i="1"/>
  <c r="AC15" i="1"/>
  <c r="P18" i="1"/>
  <c r="P11" i="1"/>
  <c r="AC8" i="1"/>
  <c r="P20" i="1"/>
  <c r="AC17" i="1"/>
  <c r="AC14" i="1"/>
  <c r="P17" i="1"/>
  <c r="P23" i="1"/>
  <c r="AC20" i="1"/>
  <c r="P22" i="1"/>
  <c r="AC19" i="1"/>
  <c r="P19" i="1"/>
  <c r="AC16" i="1"/>
  <c r="P24" i="1"/>
  <c r="AC21" i="1"/>
  <c r="P21" i="1"/>
  <c r="AC18" i="1"/>
  <c r="AC7" i="1"/>
  <c r="P10" i="1"/>
  <c r="AC23" i="1"/>
  <c r="P26" i="1"/>
  <c r="P12" i="1"/>
  <c r="AC9" i="1"/>
  <c r="AC22" i="1"/>
  <c r="P25" i="1"/>
  <c r="P14" i="1"/>
  <c r="AC11" i="1"/>
  <c r="AC5" i="1"/>
  <c r="P8" i="1"/>
  <c r="P16" i="1"/>
  <c r="AC13" i="1"/>
  <c r="M23" i="1"/>
  <c r="AA20" i="1"/>
  <c r="AM24" i="1" s="1"/>
  <c r="AA5" i="1"/>
  <c r="AM9" i="1" s="1"/>
  <c r="AB5" i="1"/>
  <c r="AN9" i="1" s="1"/>
  <c r="M10" i="1"/>
  <c r="M22" i="1"/>
  <c r="M26" i="1"/>
  <c r="M8" i="1"/>
  <c r="M20" i="1"/>
  <c r="M24" i="1"/>
  <c r="M25" i="1"/>
  <c r="M21" i="1"/>
  <c r="M19" i="1"/>
  <c r="M17" i="1"/>
  <c r="M16" i="1"/>
  <c r="M15" i="1"/>
  <c r="M14" i="1"/>
  <c r="M12" i="1"/>
  <c r="M13" i="1"/>
  <c r="M11" i="1"/>
  <c r="M9" i="1"/>
  <c r="M18" i="1"/>
  <c r="AN4" i="1" l="1"/>
  <c r="E59" i="2"/>
  <c r="AI5" i="1"/>
  <c r="G47" i="5" s="1"/>
  <c r="H47" i="5" s="1"/>
  <c r="K47" i="5" s="1"/>
  <c r="AI8" i="1"/>
  <c r="X47" i="5"/>
  <c r="Y48" i="5" s="1"/>
  <c r="AG8" i="1"/>
  <c r="Z6" i="5"/>
  <c r="X6" i="5"/>
  <c r="Y7" i="5" s="1"/>
  <c r="AL4" i="1"/>
  <c r="K6" i="5"/>
  <c r="I6" i="5"/>
  <c r="J7" i="5" s="1"/>
  <c r="I47" i="5" l="1"/>
  <c r="J48" i="5" s="1"/>
  <c r="L47" i="5" s="1"/>
  <c r="Y49" i="5"/>
  <c r="AA47" i="5"/>
  <c r="Z48" i="5"/>
  <c r="AA6" i="5"/>
  <c r="Y8" i="5"/>
  <c r="Z7" i="5"/>
  <c r="L6" i="5"/>
  <c r="K7" i="5"/>
  <c r="J8" i="5"/>
  <c r="K48" i="5" l="1"/>
  <c r="J49" i="5"/>
  <c r="J50" i="5" s="1"/>
  <c r="Z49" i="5"/>
  <c r="AA48" i="5"/>
  <c r="L7" i="6" s="1"/>
  <c r="Y50" i="5"/>
  <c r="Z8" i="5"/>
  <c r="Y9" i="5"/>
  <c r="AA7" i="5"/>
  <c r="F7" i="6" s="1"/>
  <c r="K8" i="5"/>
  <c r="J9" i="5"/>
  <c r="L7" i="5"/>
  <c r="B7" i="6" s="1"/>
  <c r="K49" i="5"/>
  <c r="L48" i="5" l="1"/>
  <c r="H7" i="6" s="1"/>
  <c r="Y51" i="5"/>
  <c r="Z50" i="5"/>
  <c r="AA49" i="5"/>
  <c r="AA8" i="5"/>
  <c r="Z9" i="5"/>
  <c r="Y10" i="5"/>
  <c r="L8" i="5"/>
  <c r="J10" i="5"/>
  <c r="K9" i="5"/>
  <c r="K50" i="5"/>
  <c r="L49" i="5"/>
  <c r="J51" i="5"/>
  <c r="AA50" i="5" l="1"/>
  <c r="L8" i="6" s="1"/>
  <c r="Y52" i="5"/>
  <c r="Z51" i="5"/>
  <c r="Z10" i="5"/>
  <c r="AA9" i="5"/>
  <c r="F8" i="6" s="1"/>
  <c r="Y11" i="5"/>
  <c r="J52" i="5"/>
  <c r="L50" i="5"/>
  <c r="H8" i="6" s="1"/>
  <c r="K51" i="5"/>
  <c r="K10" i="5"/>
  <c r="L9" i="5"/>
  <c r="B8" i="6" s="1"/>
  <c r="J11" i="5"/>
  <c r="Y53" i="5" l="1"/>
  <c r="Z52" i="5"/>
  <c r="AA51" i="5"/>
  <c r="L9" i="6" s="1"/>
  <c r="Z11" i="5"/>
  <c r="Y12" i="5"/>
  <c r="AA10" i="5"/>
  <c r="F9" i="6" s="1"/>
  <c r="J12" i="5"/>
  <c r="K11" i="5"/>
  <c r="L10" i="5"/>
  <c r="B9" i="6" s="1"/>
  <c r="J53" i="5"/>
  <c r="L51" i="5"/>
  <c r="H9" i="6" s="1"/>
  <c r="K52" i="5"/>
  <c r="AA52" i="5" l="1"/>
  <c r="L10" i="6" s="1"/>
  <c r="Y54" i="5"/>
  <c r="Z53" i="5"/>
  <c r="Z12" i="5"/>
  <c r="Y13" i="5"/>
  <c r="AA11" i="5"/>
  <c r="F10" i="6" s="1"/>
  <c r="J54" i="5"/>
  <c r="L52" i="5"/>
  <c r="H10" i="6" s="1"/>
  <c r="K53" i="5"/>
  <c r="L11" i="5"/>
  <c r="B10" i="6" s="1"/>
  <c r="K12" i="5"/>
  <c r="J13" i="5"/>
  <c r="Y55" i="5" l="1"/>
  <c r="Z54" i="5"/>
  <c r="AA53" i="5"/>
  <c r="L11" i="6" s="1"/>
  <c r="AA12" i="5"/>
  <c r="F11" i="6" s="1"/>
  <c r="Z13" i="5"/>
  <c r="Y14" i="5"/>
  <c r="L12" i="5"/>
  <c r="B11" i="6" s="1"/>
  <c r="J14" i="5"/>
  <c r="K13" i="5"/>
  <c r="K54" i="5"/>
  <c r="J55" i="5"/>
  <c r="L53" i="5"/>
  <c r="H11" i="6" s="1"/>
  <c r="AA54" i="5" l="1"/>
  <c r="L12" i="6" s="1"/>
  <c r="Y56" i="5"/>
  <c r="Z55" i="5"/>
  <c r="AA13" i="5"/>
  <c r="F12" i="6" s="1"/>
  <c r="Z14" i="5"/>
  <c r="Y15" i="5"/>
  <c r="L13" i="5"/>
  <c r="B12" i="6" s="1"/>
  <c r="K14" i="5"/>
  <c r="J15" i="5"/>
  <c r="L54" i="5"/>
  <c r="H12" i="6" s="1"/>
  <c r="K55" i="5"/>
  <c r="J56" i="5"/>
  <c r="Y57" i="5" l="1"/>
  <c r="Z56" i="5"/>
  <c r="AA55" i="5"/>
  <c r="L13" i="6" s="1"/>
  <c r="Z15" i="5"/>
  <c r="Y16" i="5"/>
  <c r="AA14" i="5"/>
  <c r="F13" i="6" s="1"/>
  <c r="L14" i="5"/>
  <c r="B13" i="6" s="1"/>
  <c r="K15" i="5"/>
  <c r="J16" i="5"/>
  <c r="J57" i="5"/>
  <c r="K56" i="5"/>
  <c r="L55" i="5"/>
  <c r="H13" i="6" s="1"/>
  <c r="AA56" i="5" l="1"/>
  <c r="L14" i="6" s="1"/>
  <c r="Y58" i="5"/>
  <c r="Z57" i="5"/>
  <c r="Z16" i="5"/>
  <c r="Y17" i="5"/>
  <c r="AA15" i="5"/>
  <c r="F14" i="6" s="1"/>
  <c r="J17" i="5"/>
  <c r="L15" i="5"/>
  <c r="B14" i="6" s="1"/>
  <c r="K16" i="5"/>
  <c r="L56" i="5"/>
  <c r="H14" i="6" s="1"/>
  <c r="J58" i="5"/>
  <c r="K57" i="5"/>
  <c r="Y59" i="5" l="1"/>
  <c r="Z58" i="5"/>
  <c r="AA57" i="5"/>
  <c r="L15" i="6" s="1"/>
  <c r="AA16" i="5"/>
  <c r="F15" i="6" s="1"/>
  <c r="Z17" i="5"/>
  <c r="Y18" i="5"/>
  <c r="K58" i="5"/>
  <c r="L57" i="5"/>
  <c r="H15" i="6" s="1"/>
  <c r="J59" i="5"/>
  <c r="J18" i="5"/>
  <c r="L16" i="5"/>
  <c r="B15" i="6" s="1"/>
  <c r="K17" i="5"/>
  <c r="AA58" i="5" l="1"/>
  <c r="L16" i="6" s="1"/>
  <c r="Y60" i="5"/>
  <c r="Z59" i="5"/>
  <c r="Z18" i="5"/>
  <c r="Y19" i="5"/>
  <c r="AA17" i="5"/>
  <c r="F16" i="6" s="1"/>
  <c r="K18" i="5"/>
  <c r="L17" i="5"/>
  <c r="B16" i="6" s="1"/>
  <c r="J19" i="5"/>
  <c r="K59" i="5"/>
  <c r="J60" i="5"/>
  <c r="L58" i="5"/>
  <c r="H16" i="6" s="1"/>
  <c r="Y61" i="5" l="1"/>
  <c r="Z60" i="5"/>
  <c r="AA59" i="5"/>
  <c r="L17" i="6" s="1"/>
  <c r="Z19" i="5"/>
  <c r="Y20" i="5"/>
  <c r="AA18" i="5"/>
  <c r="F17" i="6" s="1"/>
  <c r="L18" i="5"/>
  <c r="B17" i="6" s="1"/>
  <c r="K19" i="5"/>
  <c r="J20" i="5"/>
  <c r="J61" i="5"/>
  <c r="L59" i="5"/>
  <c r="H17" i="6" s="1"/>
  <c r="K60" i="5"/>
  <c r="AA60" i="5" l="1"/>
  <c r="L18" i="6" s="1"/>
  <c r="Y62" i="5"/>
  <c r="Z61" i="5"/>
  <c r="Z20" i="5"/>
  <c r="Y21" i="5"/>
  <c r="AA19" i="5"/>
  <c r="F18" i="6" s="1"/>
  <c r="J21" i="5"/>
  <c r="L19" i="5"/>
  <c r="B18" i="6" s="1"/>
  <c r="K20" i="5"/>
  <c r="J62" i="5"/>
  <c r="K61" i="5"/>
  <c r="L60" i="5"/>
  <c r="H18" i="6" s="1"/>
  <c r="Y63" i="5" l="1"/>
  <c r="Z62" i="5"/>
  <c r="AA61" i="5"/>
  <c r="L19" i="6" s="1"/>
  <c r="AA20" i="5"/>
  <c r="F19" i="6" s="1"/>
  <c r="Z21" i="5"/>
  <c r="Y22" i="5"/>
  <c r="K62" i="5"/>
  <c r="L61" i="5"/>
  <c r="H19" i="6" s="1"/>
  <c r="J63" i="5"/>
  <c r="J22" i="5"/>
  <c r="L20" i="5"/>
  <c r="B19" i="6" s="1"/>
  <c r="K21" i="5"/>
  <c r="AA62" i="5" l="1"/>
  <c r="L20" i="6" s="1"/>
  <c r="Y64" i="5"/>
  <c r="Z63" i="5"/>
  <c r="Y23" i="5"/>
  <c r="Z22" i="5"/>
  <c r="AA21" i="5"/>
  <c r="F20" i="6" s="1"/>
  <c r="K22" i="5"/>
  <c r="L21" i="5"/>
  <c r="B20" i="6" s="1"/>
  <c r="J23" i="5"/>
  <c r="J64" i="5"/>
  <c r="L62" i="5"/>
  <c r="H20" i="6" s="1"/>
  <c r="K63" i="5"/>
  <c r="Y65" i="5" l="1"/>
  <c r="AH6" i="5" s="1"/>
  <c r="Z64" i="5"/>
  <c r="AA63" i="5"/>
  <c r="L21" i="6" s="1"/>
  <c r="Z23" i="5"/>
  <c r="Y24" i="5"/>
  <c r="AA22" i="5"/>
  <c r="F21" i="6" s="1"/>
  <c r="AE6" i="5"/>
  <c r="L22" i="5"/>
  <c r="K23" i="5"/>
  <c r="J24" i="5"/>
  <c r="L63" i="5"/>
  <c r="H21" i="6" s="1"/>
  <c r="K64" i="5"/>
  <c r="J65" i="5"/>
  <c r="AG6" i="5" l="1"/>
  <c r="AA64" i="5"/>
  <c r="Z65" i="5"/>
  <c r="AA65" i="5"/>
  <c r="AF6" i="5"/>
  <c r="AA24" i="5"/>
  <c r="Z24" i="5"/>
  <c r="AA23" i="5"/>
  <c r="B21" i="6"/>
  <c r="L64" i="5"/>
  <c r="L65" i="5"/>
  <c r="K65" i="5"/>
  <c r="K24" i="5"/>
  <c r="L23" i="5"/>
  <c r="L24" i="5"/>
  <c r="AB58" i="5" l="1"/>
  <c r="AB51" i="5"/>
  <c r="AB50" i="5"/>
  <c r="AB62" i="5"/>
  <c r="AB49" i="5"/>
  <c r="AB55" i="5"/>
  <c r="AB56" i="5"/>
  <c r="AB59" i="5"/>
  <c r="AB48" i="5"/>
  <c r="AB52" i="5"/>
  <c r="AB54" i="5"/>
  <c r="AB61" i="5"/>
  <c r="AB47" i="5"/>
  <c r="AB53" i="5"/>
  <c r="AB57" i="5"/>
  <c r="AB60" i="5"/>
  <c r="AB63" i="5"/>
  <c r="L22" i="6"/>
  <c r="AB64" i="5"/>
  <c r="L23" i="6"/>
  <c r="AB65" i="5"/>
  <c r="AB24" i="5"/>
  <c r="F23" i="6"/>
  <c r="F22" i="6"/>
  <c r="AB6" i="5"/>
  <c r="AB11" i="5"/>
  <c r="AB17" i="5"/>
  <c r="AB19" i="5"/>
  <c r="AB18" i="5"/>
  <c r="AB8" i="5"/>
  <c r="AB12" i="5"/>
  <c r="AB16" i="5"/>
  <c r="AB21" i="5"/>
  <c r="AB9" i="5"/>
  <c r="AB13" i="5"/>
  <c r="AB15" i="5"/>
  <c r="AB20" i="5"/>
  <c r="AB7" i="5"/>
  <c r="AB10" i="5"/>
  <c r="AB14" i="5"/>
  <c r="AB23" i="5"/>
  <c r="AB22" i="5"/>
  <c r="M9" i="5"/>
  <c r="M7" i="5"/>
  <c r="H23" i="6"/>
  <c r="M65" i="5"/>
  <c r="H22" i="6"/>
  <c r="M50" i="5"/>
  <c r="M53" i="5"/>
  <c r="M62" i="5"/>
  <c r="M57" i="5"/>
  <c r="M64" i="5"/>
  <c r="M49" i="5"/>
  <c r="M54" i="5"/>
  <c r="M58" i="5"/>
  <c r="M60" i="5"/>
  <c r="M47" i="5"/>
  <c r="M56" i="5"/>
  <c r="M48" i="5"/>
  <c r="M51" i="5"/>
  <c r="M55" i="5"/>
  <c r="M59" i="5"/>
  <c r="M61" i="5"/>
  <c r="M52" i="5"/>
  <c r="M63" i="5"/>
  <c r="M14" i="5"/>
  <c r="M15" i="5"/>
  <c r="M20" i="5"/>
  <c r="M22" i="5"/>
  <c r="M24" i="5"/>
  <c r="B23" i="6"/>
  <c r="M12" i="5"/>
  <c r="M10" i="5"/>
  <c r="M16" i="5"/>
  <c r="M18" i="5"/>
  <c r="M19" i="5"/>
  <c r="B22" i="6"/>
  <c r="M23" i="5"/>
  <c r="M17" i="5"/>
  <c r="M11" i="5"/>
  <c r="M6" i="5"/>
  <c r="M8" i="5"/>
  <c r="M21" i="5"/>
  <c r="M13" i="5"/>
  <c r="N51" i="5" l="1"/>
  <c r="Z92" i="5"/>
  <c r="E91" i="5"/>
  <c r="N64" i="5"/>
  <c r="Z105" i="5"/>
  <c r="E104" i="5"/>
  <c r="AC60" i="5"/>
  <c r="AA101" i="5"/>
  <c r="V100" i="5"/>
  <c r="AC61" i="5"/>
  <c r="V101" i="5"/>
  <c r="AA102" i="5"/>
  <c r="N48" i="5"/>
  <c r="Z89" i="5"/>
  <c r="E88" i="5"/>
  <c r="AC64" i="5"/>
  <c r="AA105" i="5"/>
  <c r="V104" i="5"/>
  <c r="AC57" i="5"/>
  <c r="V97" i="5"/>
  <c r="AA98" i="5"/>
  <c r="AC54" i="5"/>
  <c r="V94" i="5"/>
  <c r="AA95" i="5"/>
  <c r="AC56" i="5"/>
  <c r="AA97" i="5"/>
  <c r="V96" i="5"/>
  <c r="AC50" i="5"/>
  <c r="V90" i="5"/>
  <c r="AA91" i="5"/>
  <c r="N52" i="5"/>
  <c r="Z93" i="5"/>
  <c r="E92" i="5"/>
  <c r="N50" i="5"/>
  <c r="E90" i="5"/>
  <c r="Z91" i="5"/>
  <c r="AC62" i="5"/>
  <c r="V102" i="5"/>
  <c r="AA103" i="5"/>
  <c r="N58" i="5"/>
  <c r="E98" i="5"/>
  <c r="Z99" i="5"/>
  <c r="N56" i="5"/>
  <c r="Z97" i="5"/>
  <c r="E96" i="5"/>
  <c r="N54" i="5"/>
  <c r="E94" i="5"/>
  <c r="Z95" i="5"/>
  <c r="N62" i="5"/>
  <c r="E102" i="5"/>
  <c r="Z103" i="5"/>
  <c r="N65" i="5"/>
  <c r="Z106" i="5"/>
  <c r="E105" i="5"/>
  <c r="AC53" i="5"/>
  <c r="V93" i="5"/>
  <c r="AA94" i="5"/>
  <c r="AC52" i="5"/>
  <c r="AA93" i="5"/>
  <c r="V92" i="5"/>
  <c r="AC55" i="5"/>
  <c r="AA96" i="5"/>
  <c r="V95" i="5"/>
  <c r="AC51" i="5"/>
  <c r="V91" i="5"/>
  <c r="AA92" i="5"/>
  <c r="N60" i="5"/>
  <c r="Z101" i="5"/>
  <c r="E100" i="5"/>
  <c r="AC59" i="5"/>
  <c r="V99" i="5"/>
  <c r="AA100" i="5"/>
  <c r="N61" i="5"/>
  <c r="E101" i="5"/>
  <c r="Z102" i="5"/>
  <c r="N57" i="5"/>
  <c r="E97" i="5"/>
  <c r="Z98" i="5"/>
  <c r="N59" i="5"/>
  <c r="Z100" i="5"/>
  <c r="E99" i="5"/>
  <c r="N63" i="5"/>
  <c r="Z104" i="5"/>
  <c r="E103" i="5"/>
  <c r="N55" i="5"/>
  <c r="Z96" i="5"/>
  <c r="E95" i="5"/>
  <c r="N47" i="5"/>
  <c r="E87" i="5"/>
  <c r="Z88" i="5"/>
  <c r="N49" i="5"/>
  <c r="E89" i="5"/>
  <c r="Z90" i="5"/>
  <c r="N53" i="5"/>
  <c r="Z94" i="5"/>
  <c r="E93" i="5"/>
  <c r="AC65" i="5"/>
  <c r="V105" i="5"/>
  <c r="AA106" i="5"/>
  <c r="AC63" i="5"/>
  <c r="AA104" i="5"/>
  <c r="V103" i="5"/>
  <c r="AC47" i="5"/>
  <c r="V87" i="5"/>
  <c r="AA88" i="5"/>
  <c r="AC48" i="5"/>
  <c r="AA89" i="5"/>
  <c r="V88" i="5"/>
  <c r="AC49" i="5"/>
  <c r="V89" i="5"/>
  <c r="AA90" i="5"/>
  <c r="AC58" i="5"/>
  <c r="V98" i="5"/>
  <c r="AA99" i="5"/>
  <c r="N11" i="5"/>
  <c r="I93" i="5"/>
  <c r="D92" i="5"/>
  <c r="N20" i="5"/>
  <c r="I102" i="5"/>
  <c r="D101" i="5"/>
  <c r="AC15" i="5"/>
  <c r="J97" i="5"/>
  <c r="U96" i="5"/>
  <c r="AC19" i="5"/>
  <c r="J101" i="5"/>
  <c r="U100" i="5"/>
  <c r="N17" i="5"/>
  <c r="I99" i="5"/>
  <c r="D98" i="5"/>
  <c r="N15" i="5"/>
  <c r="I97" i="5"/>
  <c r="D96" i="5"/>
  <c r="AC13" i="5"/>
  <c r="U94" i="5"/>
  <c r="J95" i="5"/>
  <c r="AC12" i="5"/>
  <c r="J94" i="5"/>
  <c r="U93" i="5"/>
  <c r="AC17" i="5"/>
  <c r="U98" i="5"/>
  <c r="J99" i="5"/>
  <c r="N19" i="5"/>
  <c r="I101" i="5"/>
  <c r="D100" i="5"/>
  <c r="N7" i="5"/>
  <c r="I89" i="5"/>
  <c r="D88" i="5"/>
  <c r="AC16" i="5"/>
  <c r="J98" i="5"/>
  <c r="U97" i="5"/>
  <c r="N21" i="5"/>
  <c r="I103" i="5"/>
  <c r="D102" i="5"/>
  <c r="N18" i="5"/>
  <c r="I100" i="5"/>
  <c r="D99" i="5"/>
  <c r="AC10" i="5"/>
  <c r="J92" i="5"/>
  <c r="U91" i="5"/>
  <c r="N16" i="5"/>
  <c r="I98" i="5"/>
  <c r="D97" i="5"/>
  <c r="N14" i="5"/>
  <c r="I96" i="5"/>
  <c r="D95" i="5"/>
  <c r="AC22" i="5"/>
  <c r="J104" i="5"/>
  <c r="U103" i="5"/>
  <c r="AC7" i="5"/>
  <c r="J89" i="5"/>
  <c r="U88" i="5"/>
  <c r="AC9" i="5"/>
  <c r="U90" i="5"/>
  <c r="J91" i="5"/>
  <c r="AC8" i="5"/>
  <c r="J90" i="5"/>
  <c r="U89" i="5"/>
  <c r="AC11" i="5"/>
  <c r="J93" i="5"/>
  <c r="U92" i="5"/>
  <c r="AC24" i="5"/>
  <c r="J106" i="5"/>
  <c r="U105" i="5"/>
  <c r="N13" i="5"/>
  <c r="I95" i="5"/>
  <c r="D94" i="5"/>
  <c r="N12" i="5"/>
  <c r="I94" i="5"/>
  <c r="D93" i="5"/>
  <c r="AC14" i="5"/>
  <c r="J96" i="5"/>
  <c r="U95" i="5"/>
  <c r="N9" i="5"/>
  <c r="I91" i="5"/>
  <c r="D90" i="5"/>
  <c r="N8" i="5"/>
  <c r="I90" i="5"/>
  <c r="D89" i="5"/>
  <c r="N23" i="5"/>
  <c r="I105" i="5"/>
  <c r="D104" i="5"/>
  <c r="N24" i="5"/>
  <c r="I106" i="5"/>
  <c r="D105" i="5"/>
  <c r="N6" i="5"/>
  <c r="I88" i="5"/>
  <c r="D87" i="5"/>
  <c r="N10" i="5"/>
  <c r="I92" i="5"/>
  <c r="D91" i="5"/>
  <c r="N22" i="5"/>
  <c r="I104" i="5"/>
  <c r="D103" i="5"/>
  <c r="AC23" i="5"/>
  <c r="J105" i="5"/>
  <c r="U104" i="5"/>
  <c r="AC20" i="5"/>
  <c r="J102" i="5"/>
  <c r="U101" i="5"/>
  <c r="AC21" i="5"/>
  <c r="U102" i="5"/>
  <c r="J103" i="5"/>
  <c r="AC18" i="5"/>
  <c r="J100" i="5"/>
  <c r="U99" i="5"/>
  <c r="AC6" i="5"/>
  <c r="U87" i="5"/>
  <c r="J88" i="5"/>
</calcChain>
</file>

<file path=xl/sharedStrings.xml><?xml version="1.0" encoding="utf-8"?>
<sst xmlns="http://schemas.openxmlformats.org/spreadsheetml/2006/main" count="1219" uniqueCount="157">
  <si>
    <t>TABLA ORIGINAL</t>
  </si>
  <si>
    <t>TABLA PRORRATEADA</t>
  </si>
  <si>
    <t>Edad inicial</t>
  </si>
  <si>
    <t>Edad Final</t>
  </si>
  <si>
    <t>Total</t>
  </si>
  <si>
    <t>Hombre</t>
  </si>
  <si>
    <t>Mujer</t>
  </si>
  <si>
    <t>no especificados</t>
  </si>
  <si>
    <t>Tasa Bruta de Mortalidad</t>
  </si>
  <si>
    <t>Hombres</t>
  </si>
  <si>
    <t>Mujeres</t>
  </si>
  <si>
    <t>Grupos quinquenales</t>
  </si>
  <si>
    <t>Censo 2010</t>
  </si>
  <si>
    <t>Censo 2020</t>
  </si>
  <si>
    <t xml:space="preserve">Edad final </t>
  </si>
  <si>
    <t>85 y mas</t>
  </si>
  <si>
    <t>TOTAL</t>
  </si>
  <si>
    <t>TOTAL GLOBAL</t>
  </si>
  <si>
    <t>Tasa geometrica</t>
  </si>
  <si>
    <t>Proyeccion mitad de año 2010</t>
  </si>
  <si>
    <t>Proyeccion mitad de año 2020</t>
  </si>
  <si>
    <t>Tasa  Especifica de Mortalidad</t>
  </si>
  <si>
    <t>1 a 4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</si>
  <si>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</si>
  <si>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</si>
  <si>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</si>
  <si>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</si>
  <si>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</si>
  <si>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</si>
  <si>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</si>
  <si>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</si>
  <si>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</si>
  <si>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</si>
  <si>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</si>
  <si>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</si>
  <si>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</si>
  <si>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</si>
  <si>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</si>
  <si>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</si>
  <si>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y más</t>
  </si>
  <si>
    <t>Alpha</t>
  </si>
  <si>
    <t>DESCARGA DE INEGI</t>
  </si>
  <si>
    <t>.</t>
  </si>
  <si>
    <t>edad</t>
  </si>
  <si>
    <t>Menor de 15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</si>
  <si>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</si>
  <si>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</si>
  <si>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</si>
  <si>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</si>
  <si>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</si>
  <si>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</si>
  <si>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</si>
  <si>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y más años</t>
  </si>
  <si>
    <t>No especificado</t>
  </si>
  <si>
    <t/>
  </si>
  <si>
    <t>PRORRATEO</t>
  </si>
  <si>
    <t>PROMEDIO</t>
  </si>
  <si>
    <t>AGREGACIÓN DE GRUPOS</t>
  </si>
  <si>
    <t>SUMA</t>
  </si>
  <si>
    <t>Tasa de Mortalidad Infantil</t>
  </si>
  <si>
    <t>Global</t>
  </si>
  <si>
    <t>Tasa Tifipicada de Mortalidad</t>
  </si>
  <si>
    <t>Numerador</t>
  </si>
  <si>
    <t>(01) Enfermedades infecciosas intestinales</t>
  </si>
  <si>
    <t>(02) Tuberculosis</t>
  </si>
  <si>
    <t>(03) Otras enfermedades bacterianas</t>
  </si>
  <si>
    <t>(05) Otras enfermedades infecciosas y parasitarias y efectos tardíos de las enfermedades infecciosas y parasitarias</t>
  </si>
  <si>
    <t>(06) Enfermedades víricas</t>
  </si>
  <si>
    <t>(08) Tumores malignos del labio, de la cavidad bucal y de la faringe</t>
  </si>
  <si>
    <t>(09) Tumores malignos de los órganos digestivos</t>
  </si>
  <si>
    <t>(10) Tumor maligno de órganos respiratorios e intratorácicos</t>
  </si>
  <si>
    <t>(11) Tumores malignos de los huesos, de los cartílagos articulares, del tejido conjuntivo, de la piel y de la mama</t>
  </si>
  <si>
    <t>(12) Tumores malignos de los órganos genitourinarios</t>
  </si>
  <si>
    <t>(13) Tumores malignos de otros sitios y de los no especificados</t>
  </si>
  <si>
    <t>(14) Tumores malignos del tejido linfático, de los órganos hematopoyéticos y tejidos afines</t>
  </si>
  <si>
    <t>(15) Tumores malignos (primarios) de sitios múltiples independientes</t>
  </si>
  <si>
    <t>(17) Tumores Benignos</t>
  </si>
  <si>
    <t>(18) Tumores de comportamiento incierto o desconocido</t>
  </si>
  <si>
    <t>(19) Enfermedades de la sangre y de los órganos hematopoyéticos, y ciertos trastornos que afectan el mecanismo de la inmunidad</t>
  </si>
  <si>
    <t>(20) Enfermedades endocrinas y metabólicas</t>
  </si>
  <si>
    <t>(21) Desnutrición y otras deficiencias nutricionales</t>
  </si>
  <si>
    <t>(22) Trastornos mentales y del comportamiento</t>
  </si>
  <si>
    <t>(23) Enfermedades del sistema nervioso</t>
  </si>
  <si>
    <t>(26) Fiebre reumática aguda y enfermedades cardíacas reumáticas crónicas</t>
  </si>
  <si>
    <t>(27) Enfermedades hipertensivas</t>
  </si>
  <si>
    <t>(28) Enfermedades isquémicas del corazón</t>
  </si>
  <si>
    <t>(29) Enfermedades de la circulación pulmonar y otras enfermedades del corazón</t>
  </si>
  <si>
    <t>(30) Enfermedades cerebrovasculares</t>
  </si>
  <si>
    <t>(31) Otras enfermedades del aparato circulatorio</t>
  </si>
  <si>
    <t>(32) Infecciones y otras enfermedades de las vías respiratorias superiores</t>
  </si>
  <si>
    <t>(33) Otras enfermedades del aparato respiratorio</t>
  </si>
  <si>
    <t>(35) Enfermedades de otras partes del aparato digestivo</t>
  </si>
  <si>
    <t>(36) Enfermedades de la piel y del tejido  subcutáneo</t>
  </si>
  <si>
    <t>(37) Enfermedades del sistema osteomuscular y del tejido conjuntivo</t>
  </si>
  <si>
    <t>(38) Enfermedades del aparato urinario</t>
  </si>
  <si>
    <t>(39) Enfermedades de los órganos genitales masculinos</t>
  </si>
  <si>
    <t>(41) Enfermedades de los órganos genitales femeninos</t>
  </si>
  <si>
    <t>(43) Causas obstétricas directas</t>
  </si>
  <si>
    <t>(46) Ciertas afecciones originadas en el período perinatal</t>
  </si>
  <si>
    <t>(47) Malformaciones congénitas, deformidades y anomalías cromosómicas</t>
  </si>
  <si>
    <t>(48) Síntomas, signos y hallazgos anormales clínicos y de laboratorio, no clasificados en otra parte</t>
  </si>
  <si>
    <t>(E49) Accidentes de transporte</t>
  </si>
  <si>
    <t>(E50) Caídas</t>
  </si>
  <si>
    <t>(E51) Otros accidentes, incluso los efectos tardíos</t>
  </si>
  <si>
    <t>(E52) Exposición al humo, fuego y llamas</t>
  </si>
  <si>
    <t>(E53) Envenenamiento accidental por, y exposición a sustancias nocivas</t>
  </si>
  <si>
    <t>(E54) Lesiones autoinfligidas intencionalmente</t>
  </si>
  <si>
    <t>(E55) Agresiones</t>
  </si>
  <si>
    <t>(E56) Otra violencia</t>
  </si>
  <si>
    <t>(E58) Contratiempos durante la atención médica, reacciones anormales y complicaciones ulteriores</t>
  </si>
  <si>
    <t>HOMBRES</t>
  </si>
  <si>
    <t>Tasa de Mortalidad por causa</t>
  </si>
  <si>
    <t>Proporción por Causa</t>
  </si>
  <si>
    <t>Causa</t>
  </si>
  <si>
    <t>TMPC</t>
  </si>
  <si>
    <t>PPC</t>
  </si>
  <si>
    <t>MUJERES</t>
  </si>
  <si>
    <t>HOMBRES 2010</t>
  </si>
  <si>
    <t>poblacion lab2</t>
  </si>
  <si>
    <t>TMI /1000</t>
  </si>
  <si>
    <t>Edad</t>
  </si>
  <si>
    <t>n</t>
  </si>
  <si>
    <t>nax</t>
  </si>
  <si>
    <t>nDx</t>
  </si>
  <si>
    <t>nNx</t>
  </si>
  <si>
    <t>nMx</t>
  </si>
  <si>
    <t>nmx</t>
  </si>
  <si>
    <t>nqx</t>
  </si>
  <si>
    <t>npx</t>
  </si>
  <si>
    <t>lx</t>
  </si>
  <si>
    <t>ndx</t>
  </si>
  <si>
    <t>nLx</t>
  </si>
  <si>
    <t>Tx</t>
  </si>
  <si>
    <t>ex</t>
  </si>
  <si>
    <t>MUJERES 2010</t>
  </si>
  <si>
    <t>HOMBRES 2020</t>
  </si>
  <si>
    <t>MUJERES 2020</t>
  </si>
  <si>
    <t>RELACIONES DE SOBREVIVENCIA</t>
  </si>
  <si>
    <t>S</t>
  </si>
  <si>
    <t>x</t>
  </si>
  <si>
    <t>NA</t>
  </si>
  <si>
    <t>80+</t>
  </si>
  <si>
    <t>Intervalo C50</t>
  </si>
  <si>
    <t xml:space="preserve">Hombres </t>
  </si>
  <si>
    <t>MEDIDAS DE MORTALIDAD</t>
  </si>
  <si>
    <t>Población lab2</t>
  </si>
  <si>
    <t>TMI/1000</t>
  </si>
  <si>
    <t>población lab2</t>
  </si>
  <si>
    <t>CAUSAS DE MORTALIDAD</t>
  </si>
  <si>
    <t>TABLAS DE VIDA</t>
  </si>
  <si>
    <t>POBLACION</t>
  </si>
  <si>
    <t>NACIMIENTOS</t>
  </si>
  <si>
    <t>Edades</t>
  </si>
  <si>
    <t>HOMBRES ORDENADO DE MAYOR A MENOR</t>
  </si>
  <si>
    <t>MUJERES ORDENADO DE MAYOR A MENOR</t>
  </si>
  <si>
    <t>HOMBRES Y MUJERES 2010</t>
  </si>
  <si>
    <t>HOMBRES Y MUJERES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</si>
</sst>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0.00000"/>
    <numFmt numFmtId="165" formatCode="0.000"/>
    <numFmt numFmtId="166" formatCode="0.0"/>
    <numFmt numFmtId="167" formatCode="0.00000%"/>
    <numFmt numFmtId="168" formatCode="0.000000"/>
    <numFmt numFmtId="169" formatCode="0.000000000"/>
    <numFmt numFmtId="170" formatCode="0.0000"/>
    <numFmt numFmtId="171" formatCode="#,##0.0000"/>
    <numFmt numFmtId="172" formatCode="0.0000000000"/>
    <numFmt numFmtId="173" formatCode="0.000E+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3"/>
      <color rgb="FF44546A"/>
      <name val="Arial"/>
      <family val="2"/>
    </font>
    <font>
      <sz val="15"/>
      <name val="Arial"/>
      <family val="2"/>
    </font>
    <font>
      <b/>
      <sz val="11"/>
      <color rgb="FF44546A"/>
      <name val="Arial"/>
      <family val="2"/>
    </font>
    <font>
      <sz val="8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4472C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6">
    <xf numFmtId="0" fontId="0" fillId="0" borderId="0" xfId="0"/>
    <xf numFmtId="0" fontId="3" fillId="0" borderId="0" xfId="0" applyFont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0" xfId="0" applyAlignment="1">
      <alignment horizontal="center"/>
    </xf>
    <xf numFmtId="0" fontId="4" fillId="0" borderId="0" xfId="0" applyNumberFormat="1" applyFont="1" applyProtection="1"/>
    <xf numFmtId="0" fontId="0" fillId="0" borderId="1" xfId="0" applyBorder="1"/>
    <xf numFmtId="0" fontId="0" fillId="0" borderId="0" xfId="0" applyAlignment="1"/>
    <xf numFmtId="0" fontId="6" fillId="14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167" fontId="6" fillId="0" borderId="1" xfId="1" applyNumberFormat="1" applyFont="1" applyBorder="1" applyAlignment="1">
      <alignment vertical="center"/>
    </xf>
    <xf numFmtId="0" fontId="8" fillId="2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67" fontId="9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19" borderId="1" xfId="0" applyFont="1" applyFill="1" applyBorder="1"/>
    <xf numFmtId="0" fontId="6" fillId="0" borderId="1" xfId="0" applyFont="1" applyBorder="1"/>
    <xf numFmtId="0" fontId="9" fillId="0" borderId="1" xfId="0" applyFont="1" applyBorder="1" applyAlignment="1">
      <alignment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8" fillId="20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3" fontId="18" fillId="15" borderId="1" xfId="0" applyNumberFormat="1" applyFont="1" applyFill="1" applyBorder="1" applyAlignment="1">
      <alignment horizontal="center" vertical="center" wrapText="1"/>
    </xf>
    <xf numFmtId="3" fontId="18" fillId="20" borderId="1" xfId="0" applyNumberFormat="1" applyFont="1" applyFill="1" applyBorder="1" applyAlignment="1">
      <alignment horizontal="center" vertical="center" wrapText="1"/>
    </xf>
    <xf numFmtId="3" fontId="18" fillId="13" borderId="1" xfId="0" applyNumberFormat="1" applyFont="1" applyFill="1" applyBorder="1" applyAlignment="1">
      <alignment horizontal="center" vertical="center" wrapText="1"/>
    </xf>
    <xf numFmtId="3" fontId="18" fillId="10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" fontId="8" fillId="9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8" fillId="8" borderId="1" xfId="0" applyNumberFormat="1" applyFont="1" applyFill="1" applyBorder="1" applyAlignment="1">
      <alignment horizontal="center" vertical="center" wrapText="1"/>
    </xf>
    <xf numFmtId="1" fontId="18" fillId="10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1" fontId="18" fillId="20" borderId="1" xfId="0" applyNumberFormat="1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1" fontId="18" fillId="7" borderId="1" xfId="0" applyNumberFormat="1" applyFont="1" applyFill="1" applyBorder="1" applyAlignment="1">
      <alignment horizontal="center" vertical="center" wrapText="1"/>
    </xf>
    <xf numFmtId="0" fontId="17" fillId="23" borderId="1" xfId="0" applyFont="1" applyFill="1" applyBorder="1" applyAlignment="1">
      <alignment horizontal="center" vertical="center" wrapText="1"/>
    </xf>
    <xf numFmtId="1" fontId="8" fillId="23" borderId="1" xfId="0" applyNumberFormat="1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9" borderId="0" xfId="0" applyFill="1"/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2" fontId="12" fillId="0" borderId="14" xfId="0" applyNumberFormat="1" applyFont="1" applyBorder="1" applyAlignment="1">
      <alignment horizontal="center" vertical="center" wrapText="1"/>
    </xf>
    <xf numFmtId="1" fontId="6" fillId="0" borderId="14" xfId="0" applyNumberFormat="1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16" borderId="14" xfId="0" applyFont="1" applyFill="1" applyBorder="1" applyAlignment="1">
      <alignment vertical="center" wrapText="1"/>
    </xf>
    <xf numFmtId="172" fontId="6" fillId="0" borderId="14" xfId="0" applyNumberFormat="1" applyFont="1" applyBorder="1" applyAlignment="1">
      <alignment vertical="center" wrapText="1"/>
    </xf>
    <xf numFmtId="173" fontId="6" fillId="17" borderId="14" xfId="0" applyNumberFormat="1" applyFont="1" applyFill="1" applyBorder="1" applyAlignment="1">
      <alignment vertical="center" wrapText="1"/>
    </xf>
    <xf numFmtId="173" fontId="6" fillId="0" borderId="14" xfId="0" applyNumberFormat="1" applyFont="1" applyBorder="1" applyAlignment="1">
      <alignment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" fontId="12" fillId="0" borderId="14" xfId="0" applyNumberFormat="1" applyFont="1" applyBorder="1" applyAlignment="1">
      <alignment horizontal="center" vertical="center" wrapText="1"/>
    </xf>
    <xf numFmtId="0" fontId="12" fillId="16" borderId="14" xfId="0" applyFont="1" applyFill="1" applyBorder="1" applyAlignment="1">
      <alignment horizontal="center" vertical="center" wrapText="1"/>
    </xf>
    <xf numFmtId="171" fontId="12" fillId="0" borderId="14" xfId="0" applyNumberFormat="1" applyFont="1" applyBorder="1" applyAlignment="1">
      <alignment horizontal="center" vertical="center" wrapText="1"/>
    </xf>
    <xf numFmtId="0" fontId="12" fillId="17" borderId="14" xfId="0" applyFont="1" applyFill="1" applyBorder="1" applyAlignment="1">
      <alignment horizontal="center" vertical="center" wrapText="1"/>
    </xf>
    <xf numFmtId="0" fontId="6" fillId="14" borderId="13" xfId="0" applyFont="1" applyFill="1" applyBorder="1" applyAlignment="1">
      <alignment vertical="center" wrapText="1"/>
    </xf>
    <xf numFmtId="1" fontId="21" fillId="0" borderId="14" xfId="0" applyNumberFormat="1" applyFont="1" applyBorder="1" applyAlignment="1">
      <alignment horizontal="center" vertical="center" wrapText="1"/>
    </xf>
    <xf numFmtId="166" fontId="21" fillId="0" borderId="14" xfId="0" applyNumberFormat="1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vertical="center" wrapText="1"/>
    </xf>
    <xf numFmtId="0" fontId="6" fillId="18" borderId="14" xfId="0" applyFont="1" applyFill="1" applyBorder="1" applyAlignment="1">
      <alignment vertical="center" wrapText="1"/>
    </xf>
    <xf numFmtId="169" fontId="6" fillId="0" borderId="14" xfId="0" applyNumberFormat="1" applyFont="1" applyBorder="1" applyAlignment="1">
      <alignment vertical="center" wrapText="1"/>
    </xf>
    <xf numFmtId="0" fontId="6" fillId="17" borderId="14" xfId="0" applyFont="1" applyFill="1" applyBorder="1" applyAlignment="1">
      <alignment vertical="center" wrapText="1"/>
    </xf>
    <xf numFmtId="0" fontId="12" fillId="14" borderId="13" xfId="0" applyFont="1" applyFill="1" applyBorder="1" applyAlignment="1">
      <alignment vertical="center" wrapText="1"/>
    </xf>
    <xf numFmtId="0" fontId="12" fillId="14" borderId="13" xfId="0" applyFont="1" applyFill="1" applyBorder="1" applyAlignment="1">
      <alignment horizontal="center" vertical="center" wrapText="1"/>
    </xf>
    <xf numFmtId="170" fontId="6" fillId="0" borderId="14" xfId="0" applyNumberFormat="1" applyFont="1" applyBorder="1" applyAlignment="1">
      <alignment vertical="center" wrapText="1"/>
    </xf>
    <xf numFmtId="0" fontId="5" fillId="0" borderId="0" xfId="0" applyFont="1"/>
    <xf numFmtId="0" fontId="8" fillId="5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8" fontId="9" fillId="0" borderId="1" xfId="0" applyNumberFormat="1" applyFont="1" applyBorder="1" applyAlignment="1">
      <alignment vertical="center" wrapText="1"/>
    </xf>
    <xf numFmtId="0" fontId="9" fillId="23" borderId="1" xfId="0" applyFont="1" applyFill="1" applyBorder="1" applyAlignment="1">
      <alignment horizontal="center" vertical="center" wrapText="1"/>
    </xf>
    <xf numFmtId="0" fontId="6" fillId="15" borderId="1" xfId="0" applyFont="1" applyFill="1" applyBorder="1"/>
    <xf numFmtId="0" fontId="7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0" borderId="1" xfId="0" applyNumberFormat="1" applyFont="1" applyBorder="1" applyProtection="1"/>
    <xf numFmtId="3" fontId="6" fillId="0" borderId="1" xfId="0" applyNumberFormat="1" applyFont="1" applyBorder="1" applyAlignment="1">
      <alignment horizontal="center" vertical="center"/>
    </xf>
    <xf numFmtId="0" fontId="0" fillId="0" borderId="1" xfId="0" applyFont="1" applyBorder="1"/>
    <xf numFmtId="0" fontId="7" fillId="21" borderId="1" xfId="0" applyNumberFormat="1" applyFont="1" applyFill="1" applyBorder="1" applyAlignment="1" applyProtection="1">
      <alignment horizontal="center"/>
    </xf>
    <xf numFmtId="0" fontId="6" fillId="0" borderId="0" xfId="0" applyFont="1"/>
    <xf numFmtId="0" fontId="13" fillId="0" borderId="1" xfId="0" applyFont="1" applyBorder="1" applyAlignment="1">
      <alignment horizontal="left" vertical="center"/>
    </xf>
    <xf numFmtId="0" fontId="7" fillId="2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15" xfId="0" applyFont="1" applyBorder="1"/>
    <xf numFmtId="0" fontId="6" fillId="0" borderId="16" xfId="0" applyFont="1" applyBorder="1"/>
    <xf numFmtId="0" fontId="6" fillId="0" borderId="1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4" fillId="7" borderId="8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22" fillId="7" borderId="8" xfId="0" applyFont="1" applyFill="1" applyBorder="1"/>
    <xf numFmtId="0" fontId="6" fillId="12" borderId="1" xfId="0" applyFont="1" applyFill="1" applyBorder="1"/>
    <xf numFmtId="0" fontId="22" fillId="7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2" fillId="7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0" fillId="20" borderId="1" xfId="0" applyFont="1" applyFill="1" applyBorder="1"/>
    <xf numFmtId="0" fontId="0" fillId="20" borderId="1" xfId="0" applyFill="1" applyBorder="1"/>
    <xf numFmtId="0" fontId="0" fillId="14" borderId="1" xfId="0" applyFill="1" applyBorder="1"/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/>
    </xf>
    <xf numFmtId="0" fontId="11" fillId="20" borderId="1" xfId="0" applyFont="1" applyFill="1" applyBorder="1" applyAlignment="1">
      <alignment horizontal="center" vertical="top" wrapText="1"/>
    </xf>
    <xf numFmtId="0" fontId="7" fillId="20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12" fillId="20" borderId="1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/>
    </xf>
    <xf numFmtId="0" fontId="13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wrapText="1"/>
    </xf>
    <xf numFmtId="0" fontId="15" fillId="14" borderId="1" xfId="0" applyFont="1" applyFill="1" applyBorder="1" applyAlignment="1">
      <alignment horizontal="center" wrapText="1"/>
    </xf>
    <xf numFmtId="0" fontId="11" fillId="20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center" vertical="center" wrapText="1"/>
    </xf>
    <xf numFmtId="0" fontId="23" fillId="14" borderId="0" xfId="0" applyFont="1" applyFill="1" applyAlignment="1">
      <alignment horizontal="center"/>
    </xf>
    <xf numFmtId="0" fontId="20" fillId="20" borderId="7" xfId="0" applyFont="1" applyFill="1" applyBorder="1" applyAlignment="1">
      <alignment horizontal="center" vertical="center" wrapText="1"/>
    </xf>
    <xf numFmtId="0" fontId="20" fillId="20" borderId="6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5" fillId="14" borderId="8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20" borderId="8" xfId="0" applyFont="1" applyFill="1" applyBorder="1" applyAlignment="1">
      <alignment horizontal="center"/>
    </xf>
    <xf numFmtId="0" fontId="14" fillId="20" borderId="1" xfId="0" applyFont="1" applyFill="1" applyBorder="1" applyAlignment="1">
      <alignment horizontal="center"/>
    </xf>
    <xf numFmtId="0" fontId="14" fillId="20" borderId="9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3" fillId="14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7" fillId="20" borderId="8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0" borderId="9" xfId="0" applyFont="1" applyFill="1" applyBorder="1" applyAlignment="1">
      <alignment horizontal="center" vertical="center"/>
    </xf>
    <xf numFmtId="0" fontId="13" fillId="20" borderId="9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/>
    </xf>
    <xf numFmtId="0" fontId="24" fillId="14" borderId="0" xfId="0" applyFont="1" applyFill="1" applyAlignment="1">
      <alignment horizontal="center"/>
    </xf>
    <xf numFmtId="0" fontId="13" fillId="20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2" fillId="14" borderId="19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20" xfId="0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10" fillId="14" borderId="7" xfId="0" applyFont="1" applyFill="1" applyBorder="1" applyAlignment="1">
      <alignment horizontal="center" vertical="center"/>
    </xf>
    <xf numFmtId="0" fontId="10" fillId="14" borderId="18" xfId="0" applyFont="1" applyFill="1" applyBorder="1" applyAlignment="1">
      <alignment horizontal="center" vertical="center"/>
    </xf>
    <xf numFmtId="0" fontId="10" fillId="14" borderId="6" xfId="0" applyFont="1" applyFill="1" applyBorder="1" applyAlignment="1">
      <alignment horizontal="center" vertical="center"/>
    </xf>
    <xf numFmtId="0" fontId="6" fillId="20" borderId="7" xfId="0" applyFont="1" applyFill="1" applyBorder="1" applyAlignment="1">
      <alignment horizontal="center" vertical="center"/>
    </xf>
    <xf numFmtId="0" fontId="6" fillId="20" borderId="6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4" fillId="14" borderId="17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66FF"/>
      <color rgb="FFCC99FF"/>
      <color rgb="FFCC00CC"/>
      <color rgb="FF00FFFF"/>
      <color rgb="FFFF9966"/>
      <color rgb="FFFF3300"/>
      <color rgb="FF66FF66"/>
      <color rgb="FF00CC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MX"/>
              <a:t>Esperanza de vida 2010. Hombres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'Tablas de Vida'!$N$6:$N$24</c:f>
              <c:numCache>
                <c:formatCode>General</c:formatCode>
                <c:ptCount val="19"/>
                <c:pt idx="0">
                  <c:v>82.677465171144519</c:v>
                </c:pt>
                <c:pt idx="1">
                  <c:v>82.742911707088027</c:v>
                </c:pt>
                <c:pt idx="2">
                  <c:v>78.833746406633807</c:v>
                </c:pt>
                <c:pt idx="3">
                  <c:v>73.883639558711479</c:v>
                </c:pt>
                <c:pt idx="4">
                  <c:v>68.899557143510663</c:v>
                </c:pt>
                <c:pt idx="5">
                  <c:v>64.087580385788186</c:v>
                </c:pt>
                <c:pt idx="6">
                  <c:v>59.321439577403162</c:v>
                </c:pt>
                <c:pt idx="7">
                  <c:v>54.639498860543689</c:v>
                </c:pt>
                <c:pt idx="8">
                  <c:v>49.903258732151514</c:v>
                </c:pt>
                <c:pt idx="9">
                  <c:v>45.214118043244355</c:v>
                </c:pt>
                <c:pt idx="10">
                  <c:v>40.447191375656857</c:v>
                </c:pt>
                <c:pt idx="11">
                  <c:v>35.871078135193784</c:v>
                </c:pt>
                <c:pt idx="12">
                  <c:v>31.251212481683083</c:v>
                </c:pt>
                <c:pt idx="13">
                  <c:v>26.720785790003227</c:v>
                </c:pt>
                <c:pt idx="14">
                  <c:v>22.437836704543102</c:v>
                </c:pt>
                <c:pt idx="15">
                  <c:v>18.397799272960455</c:v>
                </c:pt>
                <c:pt idx="16">
                  <c:v>14.774880628931927</c:v>
                </c:pt>
                <c:pt idx="17">
                  <c:v>11.784121842915665</c:v>
                </c:pt>
                <c:pt idx="18">
                  <c:v>8.5480445137603507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3-4126-94B2-D3E1046A6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828694512"/>
        <c:axId val="706090464"/>
      </c:barChart>
      <c:catAx>
        <c:axId val="82869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6090464"/>
        <c:crosses val="autoZero"/>
        <c:auto val="1"/>
        <c:lblAlgn val="ctr"/>
        <c:lblOffset val="100"/>
        <c:noMultiLvlLbl val="0"/>
      </c:catAx>
      <c:valAx>
        <c:axId val="7060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286945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MX"/>
              <a:t>Esperanza de vida 2010. Mujeres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'Tablas de Vida'!$AC$6:$AC$24</c:f>
              <c:numCache>
                <c:formatCode>General</c:formatCode>
                <c:ptCount val="19"/>
                <c:pt idx="0">
                  <c:v>86.48608809366614</c:v>
                </c:pt>
                <c:pt idx="1">
                  <c:v>86.24743288464748</c:v>
                </c:pt>
                <c:pt idx="2">
                  <c:v>82.266842819296983</c:v>
                </c:pt>
                <c:pt idx="3">
                  <c:v>77.302663904745771</c:v>
                </c:pt>
                <c:pt idx="4">
                  <c:v>72.370110628488717</c:v>
                </c:pt>
                <c:pt idx="5">
                  <c:v>67.415527294984869</c:v>
                </c:pt>
                <c:pt idx="6">
                  <c:v>62.557441172809874</c:v>
                </c:pt>
                <c:pt idx="7">
                  <c:v>57.643052003956818</c:v>
                </c:pt>
                <c:pt idx="8">
                  <c:v>52.697704732089427</c:v>
                </c:pt>
                <c:pt idx="9">
                  <c:v>47.759488281680113</c:v>
                </c:pt>
                <c:pt idx="10">
                  <c:v>42.903424582255873</c:v>
                </c:pt>
                <c:pt idx="11">
                  <c:v>38.027899329790834</c:v>
                </c:pt>
                <c:pt idx="12">
                  <c:v>33.256145428498201</c:v>
                </c:pt>
                <c:pt idx="13">
                  <c:v>28.611157703730932</c:v>
                </c:pt>
                <c:pt idx="14">
                  <c:v>24.076098399071245</c:v>
                </c:pt>
                <c:pt idx="15">
                  <c:v>19.885037222478026</c:v>
                </c:pt>
                <c:pt idx="16">
                  <c:v>16.087022915753639</c:v>
                </c:pt>
                <c:pt idx="17">
                  <c:v>13.399905860269309</c:v>
                </c:pt>
                <c:pt idx="18">
                  <c:v>10.716636660570938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9-482E-9981-A8A1EA8D1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708764240"/>
        <c:axId val="708762160"/>
      </c:barChart>
      <c:catAx>
        <c:axId val="70876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8762160"/>
        <c:crosses val="autoZero"/>
        <c:auto val="1"/>
        <c:lblAlgn val="ctr"/>
        <c:lblOffset val="100"/>
        <c:noMultiLvlLbl val="0"/>
      </c:catAx>
      <c:valAx>
        <c:axId val="70876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876424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MX"/>
              <a:t>Esperanza de vida 2020. Hombres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'Tablas de Vida'!$N$47:$N$65</c:f>
              <c:numCache>
                <c:formatCode>General</c:formatCode>
                <c:ptCount val="19"/>
                <c:pt idx="0">
                  <c:v>68.695048669376121</c:v>
                </c:pt>
                <c:pt idx="1">
                  <c:v>68.199289690799816</c:v>
                </c:pt>
                <c:pt idx="2">
                  <c:v>64.234827596946431</c:v>
                </c:pt>
                <c:pt idx="3">
                  <c:v>59.314944062393337</c:v>
                </c:pt>
                <c:pt idx="4">
                  <c:v>54.35609580204612</c:v>
                </c:pt>
                <c:pt idx="5">
                  <c:v>49.670321472826899</c:v>
                </c:pt>
                <c:pt idx="6">
                  <c:v>45.164701161009582</c:v>
                </c:pt>
                <c:pt idx="7">
                  <c:v>40.739955010487066</c:v>
                </c:pt>
                <c:pt idx="8">
                  <c:v>36.390424076715242</c:v>
                </c:pt>
                <c:pt idx="9">
                  <c:v>32.175083822352626</c:v>
                </c:pt>
                <c:pt idx="10">
                  <c:v>28.107161008140917</c:v>
                </c:pt>
                <c:pt idx="11">
                  <c:v>24.147478292180452</c:v>
                </c:pt>
                <c:pt idx="12">
                  <c:v>20.27307831097048</c:v>
                </c:pt>
                <c:pt idx="13">
                  <c:v>17.000887862341941</c:v>
                </c:pt>
                <c:pt idx="14">
                  <c:v>13.882524568485428</c:v>
                </c:pt>
                <c:pt idx="15">
                  <c:v>11.140859661455803</c:v>
                </c:pt>
                <c:pt idx="16">
                  <c:v>8.9178101206030398</c:v>
                </c:pt>
                <c:pt idx="17">
                  <c:v>6.8549692730988516</c:v>
                </c:pt>
                <c:pt idx="18">
                  <c:v>4.8161784479618319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F-4395-91A4-1DEAD38D7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727600416"/>
        <c:axId val="727597920"/>
      </c:barChart>
      <c:catAx>
        <c:axId val="72760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7597920"/>
        <c:crosses val="autoZero"/>
        <c:auto val="1"/>
        <c:lblAlgn val="ctr"/>
        <c:lblOffset val="100"/>
        <c:noMultiLvlLbl val="0"/>
      </c:catAx>
      <c:valAx>
        <c:axId val="72759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76004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Esperanza</a:t>
            </a:r>
            <a:r>
              <a:rPr lang="es-MX" baseline="0"/>
              <a:t> de vida 2020. Mujeres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'Tablas de Vida'!$AC$47:$AC$65</c:f>
              <c:numCache>
                <c:formatCode>General</c:formatCode>
                <c:ptCount val="19"/>
                <c:pt idx="0">
                  <c:v>76.516853905417392</c:v>
                </c:pt>
                <c:pt idx="1">
                  <c:v>76.096251222950656</c:v>
                </c:pt>
                <c:pt idx="2">
                  <c:v>72.116809890129232</c:v>
                </c:pt>
                <c:pt idx="3">
                  <c:v>67.135357163427145</c:v>
                </c:pt>
                <c:pt idx="4">
                  <c:v>62.233623795048935</c:v>
                </c:pt>
                <c:pt idx="5">
                  <c:v>57.277214879428001</c:v>
                </c:pt>
                <c:pt idx="6">
                  <c:v>52.446030322737315</c:v>
                </c:pt>
                <c:pt idx="7">
                  <c:v>47.540145588395582</c:v>
                </c:pt>
                <c:pt idx="8">
                  <c:v>42.726079431841306</c:v>
                </c:pt>
                <c:pt idx="9">
                  <c:v>37.952396756506495</c:v>
                </c:pt>
                <c:pt idx="10">
                  <c:v>33.327126302737327</c:v>
                </c:pt>
                <c:pt idx="11">
                  <c:v>28.82054304397262</c:v>
                </c:pt>
                <c:pt idx="12">
                  <c:v>24.499177974840006</c:v>
                </c:pt>
                <c:pt idx="13">
                  <c:v>20.527601982797197</c:v>
                </c:pt>
                <c:pt idx="14">
                  <c:v>16.881477769848455</c:v>
                </c:pt>
                <c:pt idx="15">
                  <c:v>13.44565357025548</c:v>
                </c:pt>
                <c:pt idx="16">
                  <c:v>10.560864356445151</c:v>
                </c:pt>
                <c:pt idx="17">
                  <c:v>8.2981069548647923</c:v>
                </c:pt>
                <c:pt idx="18">
                  <c:v>6.3929056614895838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4-4512-B6D4-36460C3B5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7640112"/>
        <c:axId val="827629712"/>
      </c:barChart>
      <c:catAx>
        <c:axId val="82764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27629712"/>
        <c:crosses val="autoZero"/>
        <c:auto val="1"/>
        <c:lblAlgn val="ctr"/>
        <c:lblOffset val="100"/>
        <c:noMultiLvlLbl val="0"/>
      </c:catAx>
      <c:valAx>
        <c:axId val="82762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2764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Esperanza</a:t>
            </a:r>
            <a:r>
              <a:rPr lang="es-MX" baseline="0"/>
              <a:t> de vida 2010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de Vida'!$I$85:$I$87</c:f>
              <c:strCache>
                <c:ptCount val="3"/>
                <c:pt idx="0">
                  <c:v>Hombres</c:v>
                </c:pt>
                <c:pt idx="1">
                  <c:v>2010</c:v>
                </c:pt>
                <c:pt idx="2">
                  <c:v>ex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'Tablas de Vida'!$I$88:$I$106</c:f>
              <c:numCache>
                <c:formatCode>General</c:formatCode>
                <c:ptCount val="19"/>
                <c:pt idx="0">
                  <c:v>82.677465171144519</c:v>
                </c:pt>
                <c:pt idx="1">
                  <c:v>82.742911707088027</c:v>
                </c:pt>
                <c:pt idx="2">
                  <c:v>78.833746406633807</c:v>
                </c:pt>
                <c:pt idx="3">
                  <c:v>73.883639558711479</c:v>
                </c:pt>
                <c:pt idx="4">
                  <c:v>68.899557143510663</c:v>
                </c:pt>
                <c:pt idx="5">
                  <c:v>64.087580385788186</c:v>
                </c:pt>
                <c:pt idx="6">
                  <c:v>59.321439577403162</c:v>
                </c:pt>
                <c:pt idx="7">
                  <c:v>54.639498860543689</c:v>
                </c:pt>
                <c:pt idx="8">
                  <c:v>49.903258732151514</c:v>
                </c:pt>
                <c:pt idx="9">
                  <c:v>45.214118043244355</c:v>
                </c:pt>
                <c:pt idx="10">
                  <c:v>40.447191375656857</c:v>
                </c:pt>
                <c:pt idx="11">
                  <c:v>35.871078135193784</c:v>
                </c:pt>
                <c:pt idx="12">
                  <c:v>31.251212481683083</c:v>
                </c:pt>
                <c:pt idx="13">
                  <c:v>26.720785790003227</c:v>
                </c:pt>
                <c:pt idx="14">
                  <c:v>22.437836704543102</c:v>
                </c:pt>
                <c:pt idx="15">
                  <c:v>18.397799272960455</c:v>
                </c:pt>
                <c:pt idx="16">
                  <c:v>14.774880628931927</c:v>
                </c:pt>
                <c:pt idx="17">
                  <c:v>11.784121842915665</c:v>
                </c:pt>
                <c:pt idx="18">
                  <c:v>8.5480445137603507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F-4226-8F3A-77F0B9F7DFDE}"/>
            </c:ext>
          </c:extLst>
        </c:ser>
        <c:ser>
          <c:idx val="1"/>
          <c:order val="1"/>
          <c:tx>
            <c:strRef>
              <c:f>'Tablas de Vida'!$J$85:$J$87</c:f>
              <c:strCache>
                <c:ptCount val="3"/>
                <c:pt idx="0">
                  <c:v>Mujeres</c:v>
                </c:pt>
                <c:pt idx="1">
                  <c:v>2010</c:v>
                </c:pt>
                <c:pt idx="2">
                  <c:v>ex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val>
            <c:numRef>
              <c:f>'Tablas de Vida'!$J$88:$J$106</c:f>
              <c:numCache>
                <c:formatCode>General</c:formatCode>
                <c:ptCount val="19"/>
                <c:pt idx="0">
                  <c:v>86.48608809366614</c:v>
                </c:pt>
                <c:pt idx="1">
                  <c:v>86.24743288464748</c:v>
                </c:pt>
                <c:pt idx="2">
                  <c:v>82.266842819296983</c:v>
                </c:pt>
                <c:pt idx="3">
                  <c:v>77.302663904745771</c:v>
                </c:pt>
                <c:pt idx="4">
                  <c:v>72.370110628488717</c:v>
                </c:pt>
                <c:pt idx="5">
                  <c:v>67.415527294984869</c:v>
                </c:pt>
                <c:pt idx="6">
                  <c:v>62.557441172809874</c:v>
                </c:pt>
                <c:pt idx="7">
                  <c:v>57.643052003956818</c:v>
                </c:pt>
                <c:pt idx="8">
                  <c:v>52.697704732089427</c:v>
                </c:pt>
                <c:pt idx="9">
                  <c:v>47.759488281680113</c:v>
                </c:pt>
                <c:pt idx="10">
                  <c:v>42.903424582255873</c:v>
                </c:pt>
                <c:pt idx="11">
                  <c:v>38.027899329790834</c:v>
                </c:pt>
                <c:pt idx="12">
                  <c:v>33.256145428498201</c:v>
                </c:pt>
                <c:pt idx="13">
                  <c:v>28.611157703730932</c:v>
                </c:pt>
                <c:pt idx="14">
                  <c:v>24.076098399071245</c:v>
                </c:pt>
                <c:pt idx="15">
                  <c:v>19.885037222478026</c:v>
                </c:pt>
                <c:pt idx="16">
                  <c:v>16.087022915753639</c:v>
                </c:pt>
                <c:pt idx="17">
                  <c:v>13.399905860269309</c:v>
                </c:pt>
                <c:pt idx="18">
                  <c:v>10.716636660570938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8F-4226-8F3A-77F0B9F7D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6677120"/>
        <c:axId val="706672128"/>
      </c:barChart>
      <c:catAx>
        <c:axId val="706677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6672128"/>
        <c:crosses val="autoZero"/>
        <c:auto val="1"/>
        <c:lblAlgn val="ctr"/>
        <c:lblOffset val="100"/>
        <c:noMultiLvlLbl val="0"/>
      </c:catAx>
      <c:valAx>
        <c:axId val="70667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667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Esperanza</a:t>
            </a:r>
            <a:r>
              <a:rPr lang="es-MX" baseline="0"/>
              <a:t> de vida 2020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de Vida'!$Z$85:$Z$87</c:f>
              <c:strCache>
                <c:ptCount val="3"/>
                <c:pt idx="0">
                  <c:v>Hombres</c:v>
                </c:pt>
                <c:pt idx="1">
                  <c:v>2020</c:v>
                </c:pt>
                <c:pt idx="2">
                  <c:v>ex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'Tablas de Vida'!$Z$88:$Z$106</c:f>
              <c:numCache>
                <c:formatCode>General</c:formatCode>
                <c:ptCount val="19"/>
                <c:pt idx="0">
                  <c:v>68.695048669376121</c:v>
                </c:pt>
                <c:pt idx="1">
                  <c:v>68.199289690799816</c:v>
                </c:pt>
                <c:pt idx="2">
                  <c:v>64.234827596946431</c:v>
                </c:pt>
                <c:pt idx="3">
                  <c:v>59.314944062393337</c:v>
                </c:pt>
                <c:pt idx="4">
                  <c:v>54.35609580204612</c:v>
                </c:pt>
                <c:pt idx="5">
                  <c:v>49.670321472826899</c:v>
                </c:pt>
                <c:pt idx="6">
                  <c:v>45.164701161009582</c:v>
                </c:pt>
                <c:pt idx="7">
                  <c:v>40.739955010487066</c:v>
                </c:pt>
                <c:pt idx="8">
                  <c:v>36.390424076715242</c:v>
                </c:pt>
                <c:pt idx="9">
                  <c:v>32.175083822352626</c:v>
                </c:pt>
                <c:pt idx="10">
                  <c:v>28.107161008140917</c:v>
                </c:pt>
                <c:pt idx="11">
                  <c:v>24.147478292180452</c:v>
                </c:pt>
                <c:pt idx="12">
                  <c:v>20.27307831097048</c:v>
                </c:pt>
                <c:pt idx="13">
                  <c:v>17.000887862341941</c:v>
                </c:pt>
                <c:pt idx="14">
                  <c:v>13.882524568485428</c:v>
                </c:pt>
                <c:pt idx="15">
                  <c:v>11.140859661455803</c:v>
                </c:pt>
                <c:pt idx="16">
                  <c:v>8.9178101206030398</c:v>
                </c:pt>
                <c:pt idx="17">
                  <c:v>6.8549692730988516</c:v>
                </c:pt>
                <c:pt idx="18">
                  <c:v>4.8161784479618319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B-4625-8C6C-EB4665A4687D}"/>
            </c:ext>
          </c:extLst>
        </c:ser>
        <c:ser>
          <c:idx val="1"/>
          <c:order val="1"/>
          <c:tx>
            <c:strRef>
              <c:f>'Tablas de Vida'!$AA$85:$AA$87</c:f>
              <c:strCache>
                <c:ptCount val="3"/>
                <c:pt idx="0">
                  <c:v>Mujeres</c:v>
                </c:pt>
                <c:pt idx="1">
                  <c:v>2020</c:v>
                </c:pt>
                <c:pt idx="2">
                  <c:v>ex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val>
            <c:numRef>
              <c:f>'Tablas de Vida'!$AA$88:$AA$106</c:f>
              <c:numCache>
                <c:formatCode>General</c:formatCode>
                <c:ptCount val="19"/>
                <c:pt idx="0">
                  <c:v>76.516853905417392</c:v>
                </c:pt>
                <c:pt idx="1">
                  <c:v>76.096251222950656</c:v>
                </c:pt>
                <c:pt idx="2">
                  <c:v>72.116809890129232</c:v>
                </c:pt>
                <c:pt idx="3">
                  <c:v>67.135357163427145</c:v>
                </c:pt>
                <c:pt idx="4">
                  <c:v>62.233623795048935</c:v>
                </c:pt>
                <c:pt idx="5">
                  <c:v>57.277214879428001</c:v>
                </c:pt>
                <c:pt idx="6">
                  <c:v>52.446030322737315</c:v>
                </c:pt>
                <c:pt idx="7">
                  <c:v>47.540145588395582</c:v>
                </c:pt>
                <c:pt idx="8">
                  <c:v>42.726079431841306</c:v>
                </c:pt>
                <c:pt idx="9">
                  <c:v>37.952396756506495</c:v>
                </c:pt>
                <c:pt idx="10">
                  <c:v>33.327126302737327</c:v>
                </c:pt>
                <c:pt idx="11">
                  <c:v>28.82054304397262</c:v>
                </c:pt>
                <c:pt idx="12">
                  <c:v>24.499177974840006</c:v>
                </c:pt>
                <c:pt idx="13">
                  <c:v>20.527601982797197</c:v>
                </c:pt>
                <c:pt idx="14">
                  <c:v>16.881477769848455</c:v>
                </c:pt>
                <c:pt idx="15">
                  <c:v>13.44565357025548</c:v>
                </c:pt>
                <c:pt idx="16">
                  <c:v>10.560864356445151</c:v>
                </c:pt>
                <c:pt idx="17">
                  <c:v>8.2981069548647923</c:v>
                </c:pt>
                <c:pt idx="18">
                  <c:v>6.3929056614895838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EB-4625-8C6C-EB4665A46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6678784"/>
        <c:axId val="706680448"/>
      </c:barChart>
      <c:catAx>
        <c:axId val="706678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6680448"/>
        <c:crosses val="autoZero"/>
        <c:auto val="1"/>
        <c:lblAlgn val="ctr"/>
        <c:lblOffset val="100"/>
        <c:noMultiLvlLbl val="0"/>
      </c:catAx>
      <c:valAx>
        <c:axId val="70668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667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352532</xdr:colOff>
      <xdr:row>24</xdr:row>
      <xdr:rowOff>172107</xdr:rowOff>
    </xdr:from>
    <xdr:to>
      <xdr:col>6</xdr:col>
      <xdr:colOff>109481</xdr:colOff>
      <xdr:row>40</xdr:row>
      <xdr:rowOff>76637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582448</xdr:colOff>
      <xdr:row>24</xdr:row>
      <xdr:rowOff>106417</xdr:rowOff>
    </xdr:from>
    <xdr:to>
      <xdr:col>24</xdr:col>
      <xdr:colOff>853965</xdr:colOff>
      <xdr:row>40</xdr:row>
      <xdr:rowOff>43792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746670</xdr:colOff>
      <xdr:row>66</xdr:row>
      <xdr:rowOff>7882</xdr:rowOff>
    </xdr:from>
    <xdr:to>
      <xdr:col>10</xdr:col>
      <xdr:colOff>426982</xdr:colOff>
      <xdr:row>81</xdr:row>
      <xdr:rowOff>142326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164223</xdr:colOff>
      <xdr:row>65</xdr:row>
      <xdr:rowOff>139262</xdr:rowOff>
    </xdr:from>
    <xdr:to>
      <xdr:col>25</xdr:col>
      <xdr:colOff>875861</xdr:colOff>
      <xdr:row>81</xdr:row>
      <xdr:rowOff>164224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235960</xdr:colOff>
      <xdr:row>87</xdr:row>
      <xdr:rowOff>143740</xdr:rowOff>
    </xdr:from>
    <xdr:to>
      <xdr:col>15</xdr:col>
      <xdr:colOff>554182</xdr:colOff>
      <xdr:row>101</xdr:row>
      <xdr:rowOff>159327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268431</xdr:colOff>
      <xdr:row>86</xdr:row>
      <xdr:rowOff>176213</xdr:rowOff>
    </xdr:from>
    <xdr:to>
      <xdr:col>33</xdr:col>
      <xdr:colOff>56284</xdr:colOff>
      <xdr:row>100</xdr:row>
      <xdr:rowOff>191799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3"/>
  <sheetViews>
    <sheetView topLeftCell="H1" zoomScale="89" zoomScaleNormal="89" workbookViewId="0">
      <selection activeCell="M8" sqref="M8:R26"/>
    </sheetView>
  </sheetViews>
  <sheetFormatPr baseColWidth="10" defaultRowHeight="15" x14ac:dyDescent="0.25"/>
  <cols>
    <col min="5" max="5" width="14.85546875" customWidth="1"/>
    <col min="16" max="16" width="12.85546875" customWidth="1"/>
    <col min="17" max="17" width="13.28515625" customWidth="1"/>
    <col min="18" max="18" width="13" bestFit="1" customWidth="1"/>
  </cols>
  <sheetData>
    <row r="1" spans="1:41" x14ac:dyDescent="0.25">
      <c r="A1" s="161" t="s">
        <v>144</v>
      </c>
      <c r="B1" s="161"/>
      <c r="C1" s="161"/>
    </row>
    <row r="2" spans="1:41" x14ac:dyDescent="0.25">
      <c r="Z2" s="165" t="s">
        <v>21</v>
      </c>
      <c r="AA2" s="165"/>
      <c r="AB2" s="165"/>
      <c r="AC2" s="165"/>
      <c r="AD2" s="165"/>
      <c r="AG2" s="165" t="s">
        <v>59</v>
      </c>
      <c r="AH2" s="165"/>
      <c r="AI2" s="165"/>
      <c r="AJ2" s="165"/>
      <c r="AL2" s="165" t="s">
        <v>61</v>
      </c>
      <c r="AM2" s="165"/>
      <c r="AN2" s="165"/>
      <c r="AO2" s="165"/>
    </row>
    <row r="3" spans="1:41" x14ac:dyDescent="0.25">
      <c r="Z3" s="27"/>
      <c r="AA3" s="163">
        <v>2010</v>
      </c>
      <c r="AB3" s="163"/>
      <c r="AC3" s="163">
        <v>2020</v>
      </c>
      <c r="AD3" s="163"/>
      <c r="AG3" s="169">
        <v>2010</v>
      </c>
      <c r="AH3" s="169"/>
      <c r="AI3" s="169">
        <v>2020</v>
      </c>
      <c r="AJ3" s="169"/>
      <c r="AL3" s="170" t="s">
        <v>5</v>
      </c>
      <c r="AM3" s="170"/>
      <c r="AN3" s="171" t="s">
        <v>6</v>
      </c>
      <c r="AO3" s="171"/>
    </row>
    <row r="4" spans="1:41" ht="15.75" x14ac:dyDescent="0.25">
      <c r="B4" s="166" t="s">
        <v>0</v>
      </c>
      <c r="C4" s="166"/>
      <c r="D4" s="166"/>
      <c r="E4" s="166"/>
      <c r="F4" s="166"/>
      <c r="G4" s="166"/>
      <c r="H4" s="166"/>
      <c r="I4" s="166"/>
      <c r="J4" s="1"/>
      <c r="K4" s="167" t="s">
        <v>1</v>
      </c>
      <c r="L4" s="167"/>
      <c r="M4" s="167"/>
      <c r="N4" s="167"/>
      <c r="O4" s="167"/>
      <c r="P4" s="167"/>
      <c r="Q4" s="167"/>
      <c r="R4" s="167"/>
      <c r="Z4" s="27" t="s">
        <v>152</v>
      </c>
      <c r="AA4" s="33" t="s">
        <v>9</v>
      </c>
      <c r="AB4" s="32" t="s">
        <v>10</v>
      </c>
      <c r="AC4" s="33" t="s">
        <v>9</v>
      </c>
      <c r="AD4" s="32" t="s">
        <v>10</v>
      </c>
      <c r="AG4" s="29" t="s">
        <v>9</v>
      </c>
      <c r="AH4" s="31" t="s">
        <v>10</v>
      </c>
      <c r="AI4" s="29" t="s">
        <v>9</v>
      </c>
      <c r="AJ4" s="31" t="s">
        <v>10</v>
      </c>
      <c r="AL4" s="159">
        <f>((SUM(AM9:AM27))/Poblacion!Q24)*1000</f>
        <v>2.8519195652498994</v>
      </c>
      <c r="AM4" s="159"/>
      <c r="AN4" s="159">
        <f>((SUM(AN9:AN27))/Poblacion!R24)*1000</f>
        <v>2.3738315412595772</v>
      </c>
      <c r="AO4" s="159"/>
    </row>
    <row r="5" spans="1:41" ht="15.75" thickBot="1" x14ac:dyDescent="0.3">
      <c r="T5" s="165" t="s">
        <v>8</v>
      </c>
      <c r="U5" s="165"/>
      <c r="V5" s="165"/>
      <c r="W5" s="165"/>
      <c r="Z5" s="27">
        <v>0</v>
      </c>
      <c r="AA5" s="28">
        <f>(N8/Poblacion!M5)*1000</f>
        <v>4.9706692534333055</v>
      </c>
      <c r="AB5" s="28">
        <f>(O8/Poblacion!N5)*1000</f>
        <v>3.3820335864940358</v>
      </c>
      <c r="AC5" s="28">
        <f>(Q8/Poblacion!Q5)*1000</f>
        <v>6.4290088031433594</v>
      </c>
      <c r="AD5" s="28">
        <f>(R8/Poblacion!R5)*1000</f>
        <v>6.5623963257692832</v>
      </c>
      <c r="AG5" s="34">
        <f>(N8/Nacimientos!C59)*1000</f>
        <v>12.881684300934422</v>
      </c>
      <c r="AH5" s="34">
        <f>(O8/Nacimientos!D59)*1000</f>
        <v>8.8152523803059992</v>
      </c>
      <c r="AI5" s="34">
        <f>(Q8/Nacimientos!E59)*1000</f>
        <v>7.3668645097216512</v>
      </c>
      <c r="AJ5" s="34">
        <f>(R8/Nacimientos!F59)*1000</f>
        <v>7.5930218056426124</v>
      </c>
    </row>
    <row r="6" spans="1:41" ht="18.75" customHeight="1" thickBot="1" x14ac:dyDescent="0.3">
      <c r="B6" s="168" t="s">
        <v>2</v>
      </c>
      <c r="C6" s="168" t="s">
        <v>3</v>
      </c>
      <c r="D6" s="160">
        <v>2010</v>
      </c>
      <c r="E6" s="160"/>
      <c r="F6" s="160"/>
      <c r="G6" s="160">
        <v>2020</v>
      </c>
      <c r="H6" s="160"/>
      <c r="I6" s="160"/>
      <c r="J6" s="2"/>
      <c r="K6" s="168" t="s">
        <v>2</v>
      </c>
      <c r="L6" s="168" t="s">
        <v>3</v>
      </c>
      <c r="M6" s="160">
        <v>2010</v>
      </c>
      <c r="N6" s="160"/>
      <c r="O6" s="160"/>
      <c r="P6" s="160">
        <v>2020</v>
      </c>
      <c r="Q6" s="160"/>
      <c r="R6" s="160"/>
      <c r="T6" s="164">
        <v>2010</v>
      </c>
      <c r="U6" s="164"/>
      <c r="V6" s="164">
        <v>2020</v>
      </c>
      <c r="W6" s="164"/>
      <c r="Z6" s="27" t="s">
        <v>22</v>
      </c>
      <c r="AA6" s="28">
        <f>(N9/Poblacion!M6)*1000</f>
        <v>0.28108855761163271</v>
      </c>
      <c r="AB6" s="28">
        <f>(O9/Poblacion!N6)*1000</f>
        <v>5.7591365978951939E-2</v>
      </c>
      <c r="AC6" s="28">
        <f>(Q9/Poblacion!Q6)*1000</f>
        <v>0.13440137418207757</v>
      </c>
      <c r="AD6" s="28">
        <f>(R9/Poblacion!R6)*1000</f>
        <v>6.9355112917105818E-2</v>
      </c>
    </row>
    <row r="7" spans="1:41" ht="18.75" thickBot="1" x14ac:dyDescent="0.3">
      <c r="B7" s="168"/>
      <c r="C7" s="168"/>
      <c r="D7" s="19" t="s">
        <v>4</v>
      </c>
      <c r="E7" s="20" t="s">
        <v>5</v>
      </c>
      <c r="F7" s="21" t="s">
        <v>6</v>
      </c>
      <c r="G7" s="19" t="s">
        <v>4</v>
      </c>
      <c r="H7" s="20" t="s">
        <v>5</v>
      </c>
      <c r="I7" s="21" t="s">
        <v>6</v>
      </c>
      <c r="J7" s="2"/>
      <c r="K7" s="168"/>
      <c r="L7" s="168"/>
      <c r="M7" s="19" t="s">
        <v>4</v>
      </c>
      <c r="N7" s="20" t="s">
        <v>5</v>
      </c>
      <c r="O7" s="21" t="s">
        <v>6</v>
      </c>
      <c r="P7" s="19" t="s">
        <v>4</v>
      </c>
      <c r="Q7" s="20" t="s">
        <v>5</v>
      </c>
      <c r="R7" s="21" t="s">
        <v>6</v>
      </c>
      <c r="T7" s="33" t="s">
        <v>9</v>
      </c>
      <c r="U7" s="32" t="s">
        <v>10</v>
      </c>
      <c r="V7" s="33" t="s">
        <v>9</v>
      </c>
      <c r="W7" s="32" t="s">
        <v>10</v>
      </c>
      <c r="Z7" s="27" t="s">
        <v>23</v>
      </c>
      <c r="AA7" s="28">
        <f>(N10/Poblacion!M7)*1000</f>
        <v>0.13068100075779782</v>
      </c>
      <c r="AB7" s="28">
        <f>(O10/Poblacion!N7)*1000</f>
        <v>8.9794312670887527E-2</v>
      </c>
      <c r="AC7" s="28">
        <f>(Q10/Poblacion!Q7)*1000</f>
        <v>0.25982538240919173</v>
      </c>
      <c r="AD7" s="28">
        <f>(R10/Poblacion!R7)*1000</f>
        <v>5.3276796161523643E-2</v>
      </c>
      <c r="AG7" s="165" t="s">
        <v>60</v>
      </c>
      <c r="AH7" s="165"/>
      <c r="AI7" s="165" t="s">
        <v>60</v>
      </c>
      <c r="AJ7" s="165"/>
      <c r="AM7" s="172" t="s">
        <v>62</v>
      </c>
      <c r="AN7" s="172"/>
    </row>
    <row r="8" spans="1:41" ht="16.5" thickBot="1" x14ac:dyDescent="0.3">
      <c r="B8" s="15">
        <v>0</v>
      </c>
      <c r="C8" s="15">
        <v>0</v>
      </c>
      <c r="D8" s="16">
        <f>E8+F8</f>
        <v>32</v>
      </c>
      <c r="E8" s="16">
        <v>19</v>
      </c>
      <c r="F8" s="16">
        <v>13</v>
      </c>
      <c r="G8" s="16">
        <f>H8+I8</f>
        <v>40</v>
      </c>
      <c r="H8" s="16">
        <v>20</v>
      </c>
      <c r="I8" s="16">
        <v>20</v>
      </c>
      <c r="J8" s="2"/>
      <c r="K8" s="16">
        <v>0</v>
      </c>
      <c r="L8" s="16">
        <v>0</v>
      </c>
      <c r="M8" s="22">
        <f>N8+O8</f>
        <v>32.491366893575822</v>
      </c>
      <c r="N8" s="22">
        <f>E8*(1+$E$33)</f>
        <v>19.421286031042129</v>
      </c>
      <c r="O8" s="22">
        <f>F8*(1+$F$33)</f>
        <v>13.070080862533693</v>
      </c>
      <c r="P8" s="22">
        <f>Q8+R8</f>
        <v>40.068376068376068</v>
      </c>
      <c r="Q8" s="22">
        <f>H8*(1+$H$33)</f>
        <v>20.034188034188034</v>
      </c>
      <c r="R8" s="22">
        <f>I8*(1+$H$33)</f>
        <v>20.034188034188034</v>
      </c>
      <c r="T8" s="27">
        <f>(SUM(N8:N26)/Poblacion!M24)*1000</f>
        <v>1.9313062792396709</v>
      </c>
      <c r="U8" s="27">
        <f>(SUM(O8:O26)/Poblacion!N24)*1000</f>
        <v>1.4983053496548799</v>
      </c>
      <c r="V8" s="27">
        <f>(SUM(Q8:Q26)/Poblacion!Q24)*1000</f>
        <v>9.3095123632083308</v>
      </c>
      <c r="W8" s="27">
        <f>(SUM(R8:R26)/Poblacion!R24)*1000</f>
        <v>5.9529723605823577</v>
      </c>
      <c r="Z8" s="27" t="s">
        <v>24</v>
      </c>
      <c r="AA8" s="28">
        <f>(N11/Poblacion!M8)*1000</f>
        <v>4.4592319451666071E-2</v>
      </c>
      <c r="AB8" s="28">
        <f>(O11/Poblacion!N8)*1000</f>
        <v>0.18025114842232628</v>
      </c>
      <c r="AC8" s="28">
        <f>(Q11/Poblacion!Q8)*1000</f>
        <v>0.14505747305920777</v>
      </c>
      <c r="AD8" s="28">
        <f>(R11/Poblacion!R8)*1000</f>
        <v>0.30383367293688651</v>
      </c>
      <c r="AG8" s="159">
        <f>((N8+O8)/(Nacimientos!C59+Nacimientos!D59))*1000</f>
        <v>10.865466579057795</v>
      </c>
      <c r="AH8" s="159"/>
      <c r="AI8" s="159">
        <f>((Q8+R8)/(Nacimientos!E59+Nacimientos!F59))*1000</f>
        <v>7.4782336820410729</v>
      </c>
      <c r="AJ8" s="159"/>
      <c r="AM8" s="30" t="s">
        <v>9</v>
      </c>
      <c r="AN8" s="25" t="s">
        <v>10</v>
      </c>
    </row>
    <row r="9" spans="1:41" ht="16.5" thickBot="1" x14ac:dyDescent="0.3">
      <c r="B9" s="15">
        <v>1</v>
      </c>
      <c r="C9" s="15">
        <v>4</v>
      </c>
      <c r="D9" s="16">
        <f t="shared" ref="D9:D27" si="0">E9+F9</f>
        <v>6</v>
      </c>
      <c r="E9" s="16">
        <v>5</v>
      </c>
      <c r="F9" s="16">
        <v>1</v>
      </c>
      <c r="G9" s="16">
        <f t="shared" ref="G9:G27" si="1">H9+I9</f>
        <v>3</v>
      </c>
      <c r="H9" s="16">
        <v>2</v>
      </c>
      <c r="I9" s="16">
        <v>1</v>
      </c>
      <c r="J9" s="2"/>
      <c r="K9" s="16">
        <v>1</v>
      </c>
      <c r="L9" s="16">
        <v>4</v>
      </c>
      <c r="M9" s="22">
        <f t="shared" ref="M9:M26" si="2">N9+O9</f>
        <v>6.116255580590602</v>
      </c>
      <c r="N9" s="22">
        <f t="shared" ref="N9:N26" si="3">E9*(1+$E$33)</f>
        <v>5.1108647450110869</v>
      </c>
      <c r="O9" s="22">
        <f t="shared" ref="O9:O26" si="4">F9*(1+$F$33)</f>
        <v>1.0053908355795149</v>
      </c>
      <c r="P9" s="22">
        <f t="shared" ref="P9:P26" si="5">Q9+R9</f>
        <v>3.0051282051282051</v>
      </c>
      <c r="Q9" s="22">
        <f t="shared" ref="Q9:Q26" si="6">H9*(1+$H$33)</f>
        <v>2.0034188034188034</v>
      </c>
      <c r="R9" s="22">
        <f t="shared" ref="R9:R26" si="7">I9*(1+$H$33)</f>
        <v>1.0017094017094017</v>
      </c>
      <c r="Z9" s="27" t="s">
        <v>25</v>
      </c>
      <c r="AA9" s="28">
        <f>(N12/Poblacion!M9)*1000</f>
        <v>0.56553812878658061</v>
      </c>
      <c r="AB9" s="28">
        <f>(O12/Poblacion!N9)*1000</f>
        <v>0.12996089489829946</v>
      </c>
      <c r="AC9" s="28">
        <f>(Q12/Poblacion!Q9)*1000</f>
        <v>1.2103187514296332</v>
      </c>
      <c r="AD9" s="28">
        <f>(R12/Poblacion!R9)*1000</f>
        <v>0.14589834650161515</v>
      </c>
      <c r="AM9" s="26">
        <f>AA5/1000*Poblacion!Q5</f>
        <v>15.489685195383501</v>
      </c>
      <c r="AN9" s="26">
        <f>AB5/1000*Poblacion!R5</f>
        <v>10.324932150728959</v>
      </c>
    </row>
    <row r="10" spans="1:41" ht="16.5" thickBot="1" x14ac:dyDescent="0.3">
      <c r="B10" s="15">
        <v>5</v>
      </c>
      <c r="C10" s="15">
        <v>9</v>
      </c>
      <c r="D10" s="16">
        <f t="shared" si="0"/>
        <v>5</v>
      </c>
      <c r="E10" s="16">
        <v>3</v>
      </c>
      <c r="F10" s="16">
        <v>2</v>
      </c>
      <c r="G10" s="16">
        <f t="shared" si="1"/>
        <v>6</v>
      </c>
      <c r="H10" s="16">
        <v>5</v>
      </c>
      <c r="I10" s="16">
        <v>1</v>
      </c>
      <c r="J10" s="2"/>
      <c r="K10" s="16">
        <v>5</v>
      </c>
      <c r="L10" s="16">
        <v>9</v>
      </c>
      <c r="M10" s="22">
        <f t="shared" si="2"/>
        <v>5.0773005181656821</v>
      </c>
      <c r="N10" s="22">
        <f t="shared" si="3"/>
        <v>3.0665188470066518</v>
      </c>
      <c r="O10" s="22">
        <f t="shared" si="4"/>
        <v>2.0107816711590298</v>
      </c>
      <c r="P10" s="22">
        <f t="shared" si="5"/>
        <v>6.0102564102564102</v>
      </c>
      <c r="Q10" s="22">
        <f t="shared" si="6"/>
        <v>5.0085470085470085</v>
      </c>
      <c r="R10" s="22">
        <f t="shared" si="7"/>
        <v>1.0017094017094017</v>
      </c>
      <c r="Z10" s="27" t="s">
        <v>26</v>
      </c>
      <c r="AA10" s="28">
        <f>(N13/Poblacion!M10)*1000</f>
        <v>0.75799707893228996</v>
      </c>
      <c r="AB10" s="28">
        <f>(O13/Poblacion!N10)*1000</f>
        <v>0.43674890093831831</v>
      </c>
      <c r="AC10" s="28">
        <f>(Q13/Poblacion!Q10)*1000</f>
        <v>2.0887843664205779</v>
      </c>
      <c r="AD10" s="28">
        <f>(R13/Poblacion!R10)*1000</f>
        <v>0.61542271374955249</v>
      </c>
      <c r="AM10" s="26">
        <f>AA6/1000*Poblacion!Q6</f>
        <v>4.1899727973176404</v>
      </c>
      <c r="AN10" s="26">
        <f>AB6/1000*Poblacion!R6</f>
        <v>0.83180331387182371</v>
      </c>
    </row>
    <row r="11" spans="1:41" ht="16.5" thickBot="1" x14ac:dyDescent="0.3">
      <c r="B11" s="15">
        <v>10</v>
      </c>
      <c r="C11" s="15">
        <v>14</v>
      </c>
      <c r="D11" s="16">
        <f t="shared" si="0"/>
        <v>5</v>
      </c>
      <c r="E11" s="16">
        <v>1</v>
      </c>
      <c r="F11" s="16">
        <v>4</v>
      </c>
      <c r="G11" s="16">
        <f t="shared" si="1"/>
        <v>9</v>
      </c>
      <c r="H11" s="16">
        <v>3</v>
      </c>
      <c r="I11" s="16">
        <v>6</v>
      </c>
      <c r="J11" s="2"/>
      <c r="K11" s="16">
        <v>10</v>
      </c>
      <c r="L11" s="16">
        <v>14</v>
      </c>
      <c r="M11" s="22">
        <f t="shared" si="2"/>
        <v>5.0437362913202772</v>
      </c>
      <c r="N11" s="22">
        <f t="shared" si="3"/>
        <v>1.0221729490022173</v>
      </c>
      <c r="O11" s="22">
        <f t="shared" si="4"/>
        <v>4.0215633423180597</v>
      </c>
      <c r="P11" s="22">
        <f t="shared" si="5"/>
        <v>9.0153846153846153</v>
      </c>
      <c r="Q11" s="22">
        <f t="shared" si="6"/>
        <v>3.0051282051282051</v>
      </c>
      <c r="R11" s="22">
        <f t="shared" si="7"/>
        <v>6.0102564102564102</v>
      </c>
      <c r="Z11" s="27" t="s">
        <v>27</v>
      </c>
      <c r="AA11" s="28">
        <f>(N14/Poblacion!M11)*1000</f>
        <v>1.1163800070450296</v>
      </c>
      <c r="AB11" s="28">
        <f>(O14/Poblacion!N11)*1000</f>
        <v>0.28489344389308308</v>
      </c>
      <c r="AC11" s="28">
        <f>(Q14/Poblacion!Q11)*1000</f>
        <v>2.6831476433163277</v>
      </c>
      <c r="AD11" s="28">
        <f>(R14/Poblacion!R11)*1000</f>
        <v>0.37651311214029548</v>
      </c>
      <c r="AM11" s="26">
        <f>AA7/1000*Poblacion!Q7</f>
        <v>2.5190838914598781</v>
      </c>
      <c r="AN11" s="26">
        <f>AB7/1000*Poblacion!R7</f>
        <v>1.6883111167150431</v>
      </c>
    </row>
    <row r="12" spans="1:41" ht="16.5" thickBot="1" x14ac:dyDescent="0.3">
      <c r="B12" s="15">
        <v>15</v>
      </c>
      <c r="C12" s="15">
        <v>19</v>
      </c>
      <c r="D12" s="16">
        <f t="shared" si="0"/>
        <v>16</v>
      </c>
      <c r="E12" s="16">
        <v>13</v>
      </c>
      <c r="F12" s="16">
        <v>3</v>
      </c>
      <c r="G12" s="16">
        <f t="shared" si="1"/>
        <v>29</v>
      </c>
      <c r="H12" s="16">
        <v>26</v>
      </c>
      <c r="I12" s="16">
        <v>3</v>
      </c>
      <c r="J12" s="2"/>
      <c r="K12" s="16">
        <v>15</v>
      </c>
      <c r="L12" s="16">
        <v>19</v>
      </c>
      <c r="M12" s="22">
        <f t="shared" si="2"/>
        <v>16.304420843767371</v>
      </c>
      <c r="N12" s="22">
        <f t="shared" si="3"/>
        <v>13.288248337028826</v>
      </c>
      <c r="O12" s="22">
        <f t="shared" si="4"/>
        <v>3.0161725067385445</v>
      </c>
      <c r="P12" s="22">
        <f t="shared" si="5"/>
        <v>29.049572649572649</v>
      </c>
      <c r="Q12" s="22">
        <f t="shared" si="6"/>
        <v>26.044444444444444</v>
      </c>
      <c r="R12" s="22">
        <f t="shared" si="7"/>
        <v>3.0051282051282051</v>
      </c>
      <c r="Z12" s="27" t="s">
        <v>28</v>
      </c>
      <c r="AA12" s="28">
        <f>(N15/Poblacion!M12)*1000</f>
        <v>1.0091942385351578</v>
      </c>
      <c r="AB12" s="28">
        <f>(O15/Poblacion!N12)*1000</f>
        <v>0.1981234486667737</v>
      </c>
      <c r="AC12" s="28">
        <f>(Q15/Poblacion!Q12)*1000</f>
        <v>3.3791146205841298</v>
      </c>
      <c r="AD12" s="28">
        <f>(R15/Poblacion!R12)*1000</f>
        <v>0.82393539069141952</v>
      </c>
      <c r="AM12" s="26">
        <f>AA8/1000*Poblacion!Q8</f>
        <v>0.92381063926015061</v>
      </c>
      <c r="AN12" s="26">
        <f>AB8/1000*Poblacion!R8</f>
        <v>3.5656206561621135</v>
      </c>
    </row>
    <row r="13" spans="1:41" ht="16.5" thickBot="1" x14ac:dyDescent="0.3">
      <c r="B13" s="15">
        <v>20</v>
      </c>
      <c r="C13" s="15">
        <v>24</v>
      </c>
      <c r="D13" s="16">
        <f t="shared" si="0"/>
        <v>27</v>
      </c>
      <c r="E13" s="16">
        <v>17</v>
      </c>
      <c r="F13" s="16">
        <v>10</v>
      </c>
      <c r="G13" s="16">
        <f t="shared" si="1"/>
        <v>58</v>
      </c>
      <c r="H13" s="16">
        <v>45</v>
      </c>
      <c r="I13" s="16">
        <v>13</v>
      </c>
      <c r="J13" s="2"/>
      <c r="K13" s="16">
        <v>20</v>
      </c>
      <c r="L13" s="16">
        <v>24</v>
      </c>
      <c r="M13" s="22">
        <f t="shared" si="2"/>
        <v>27.430848488832844</v>
      </c>
      <c r="N13" s="22">
        <f t="shared" si="3"/>
        <v>17.376940133037696</v>
      </c>
      <c r="O13" s="22">
        <f t="shared" si="4"/>
        <v>10.05390835579515</v>
      </c>
      <c r="P13" s="22">
        <f t="shared" si="5"/>
        <v>58.099145299145306</v>
      </c>
      <c r="Q13" s="22">
        <f t="shared" si="6"/>
        <v>45.07692307692308</v>
      </c>
      <c r="R13" s="22">
        <f t="shared" si="7"/>
        <v>13.022222222222222</v>
      </c>
      <c r="Z13" s="27" t="s">
        <v>29</v>
      </c>
      <c r="AA13" s="28">
        <f>(N16/Poblacion!M13)*1000</f>
        <v>1.3072661237363579</v>
      </c>
      <c r="AB13" s="28">
        <f>(O16/Poblacion!N13)*1000</f>
        <v>0.24600946029709042</v>
      </c>
      <c r="AC13" s="28">
        <f>(Q16/Poblacion!Q13)*1000</f>
        <v>4.5854020100305277</v>
      </c>
      <c r="AD13" s="28">
        <f>(R16/Poblacion!R13)*1000</f>
        <v>1.122070397744418</v>
      </c>
      <c r="AM13" s="26">
        <f>AA9/1000*Poblacion!Q9</f>
        <v>12.169625860129047</v>
      </c>
      <c r="AN13" s="26">
        <f>AB9/1000*Poblacion!R9</f>
        <v>2.6768579643790442</v>
      </c>
    </row>
    <row r="14" spans="1:41" ht="16.5" thickBot="1" x14ac:dyDescent="0.3">
      <c r="B14" s="15">
        <v>25</v>
      </c>
      <c r="C14" s="15">
        <v>29</v>
      </c>
      <c r="D14" s="16">
        <f t="shared" si="0"/>
        <v>28</v>
      </c>
      <c r="E14" s="16">
        <v>22</v>
      </c>
      <c r="F14" s="16">
        <v>6</v>
      </c>
      <c r="G14" s="16">
        <f t="shared" si="1"/>
        <v>64</v>
      </c>
      <c r="H14" s="16">
        <v>56</v>
      </c>
      <c r="I14" s="16">
        <v>8</v>
      </c>
      <c r="J14" s="2"/>
      <c r="K14" s="16">
        <v>25</v>
      </c>
      <c r="L14" s="16">
        <v>29</v>
      </c>
      <c r="M14" s="22">
        <f t="shared" si="2"/>
        <v>28.520149891525868</v>
      </c>
      <c r="N14" s="22">
        <f t="shared" si="3"/>
        <v>22.487804878048781</v>
      </c>
      <c r="O14" s="22">
        <f t="shared" si="4"/>
        <v>6.0323450134770891</v>
      </c>
      <c r="P14" s="22">
        <f t="shared" si="5"/>
        <v>64.109401709401709</v>
      </c>
      <c r="Q14" s="22">
        <f t="shared" si="6"/>
        <v>56.095726495726495</v>
      </c>
      <c r="R14" s="22">
        <f t="shared" si="7"/>
        <v>8.0136752136752136</v>
      </c>
      <c r="Z14" s="27" t="s">
        <v>30</v>
      </c>
      <c r="AA14" s="28">
        <f>(N17/Poblacion!M14)*1000</f>
        <v>1.0883482122493575</v>
      </c>
      <c r="AB14" s="28">
        <f>(O17/Poblacion!N14)*1000</f>
        <v>0.63503938282579575</v>
      </c>
      <c r="AC14" s="28">
        <f>(Q17/Poblacion!Q14)*1000</f>
        <v>6.1953265526083223</v>
      </c>
      <c r="AD14" s="28">
        <f>(R17/Poblacion!R14)*1000</f>
        <v>2.1028734769697062</v>
      </c>
      <c r="AM14" s="26">
        <f>AA10/1000*Poblacion!Q10</f>
        <v>16.357924048481436</v>
      </c>
      <c r="AN14" s="26">
        <f>AB10/1000*Poblacion!R10</f>
        <v>9.241519879366388</v>
      </c>
    </row>
    <row r="15" spans="1:41" ht="16.5" thickBot="1" x14ac:dyDescent="0.3">
      <c r="B15" s="15">
        <v>30</v>
      </c>
      <c r="C15" s="15">
        <v>34</v>
      </c>
      <c r="D15" s="16">
        <f t="shared" si="0"/>
        <v>22</v>
      </c>
      <c r="E15" s="16">
        <v>18</v>
      </c>
      <c r="F15" s="16">
        <v>4</v>
      </c>
      <c r="G15" s="16">
        <f t="shared" si="1"/>
        <v>83</v>
      </c>
      <c r="H15" s="16">
        <v>66</v>
      </c>
      <c r="I15" s="16">
        <v>17</v>
      </c>
      <c r="J15" s="2"/>
      <c r="K15" s="16">
        <v>30</v>
      </c>
      <c r="L15" s="16">
        <v>34</v>
      </c>
      <c r="M15" s="22">
        <f t="shared" si="2"/>
        <v>22.420676424357971</v>
      </c>
      <c r="N15" s="22">
        <f t="shared" si="3"/>
        <v>18.399113082039911</v>
      </c>
      <c r="O15" s="22">
        <f t="shared" si="4"/>
        <v>4.0215633423180597</v>
      </c>
      <c r="P15" s="22">
        <f t="shared" si="5"/>
        <v>83.141880341880352</v>
      </c>
      <c r="Q15" s="22">
        <f t="shared" si="6"/>
        <v>66.11282051282052</v>
      </c>
      <c r="R15" s="22">
        <f t="shared" si="7"/>
        <v>17.029059829059829</v>
      </c>
      <c r="Z15" s="27" t="s">
        <v>31</v>
      </c>
      <c r="AA15" s="28">
        <f>(N18/Poblacion!M15)*1000</f>
        <v>2.2216790933743811</v>
      </c>
      <c r="AB15" s="28">
        <f>(O18/Poblacion!N15)*1000</f>
        <v>0.61521172034818339</v>
      </c>
      <c r="AC15" s="28">
        <f>(Q18/Poblacion!Q15)*1000</f>
        <v>7.9770571044915313</v>
      </c>
      <c r="AD15" s="28">
        <f>(R18/Poblacion!R15)*1000</f>
        <v>3.1757698811365853</v>
      </c>
      <c r="AM15" s="26">
        <f>AA11/1000*Poblacion!Q11</f>
        <v>23.339806773768423</v>
      </c>
      <c r="AN15" s="26">
        <f>AB11/1000*Poblacion!R11</f>
        <v>6.0636494619976675</v>
      </c>
    </row>
    <row r="16" spans="1:41" ht="16.5" thickBot="1" x14ac:dyDescent="0.3">
      <c r="B16" s="15">
        <v>35</v>
      </c>
      <c r="C16" s="15">
        <v>39</v>
      </c>
      <c r="D16" s="16">
        <f t="shared" si="0"/>
        <v>28</v>
      </c>
      <c r="E16" s="16">
        <v>23</v>
      </c>
      <c r="F16" s="16">
        <v>5</v>
      </c>
      <c r="G16" s="16">
        <f t="shared" si="1"/>
        <v>104</v>
      </c>
      <c r="H16" s="16">
        <v>82</v>
      </c>
      <c r="I16" s="16">
        <v>22</v>
      </c>
      <c r="J16" s="2"/>
      <c r="K16" s="16">
        <v>35</v>
      </c>
      <c r="L16" s="16">
        <v>39</v>
      </c>
      <c r="M16" s="22">
        <f t="shared" si="2"/>
        <v>28.536932004948575</v>
      </c>
      <c r="N16" s="22">
        <f t="shared" si="3"/>
        <v>23.509977827050999</v>
      </c>
      <c r="O16" s="22">
        <f t="shared" si="4"/>
        <v>5.0269541778975748</v>
      </c>
      <c r="P16" s="22">
        <f t="shared" si="5"/>
        <v>104.17777777777778</v>
      </c>
      <c r="Q16" s="22">
        <f t="shared" si="6"/>
        <v>82.140170940170947</v>
      </c>
      <c r="R16" s="22">
        <f t="shared" si="7"/>
        <v>22.037606837606837</v>
      </c>
      <c r="Z16" s="27" t="s">
        <v>32</v>
      </c>
      <c r="AA16" s="28">
        <f>(N19/Poblacion!M16)*1000</f>
        <v>2.2653240406174051</v>
      </c>
      <c r="AB16" s="28">
        <f>(O19/Poblacion!N16)*1000</f>
        <v>1.2807696279373597</v>
      </c>
      <c r="AC16" s="28">
        <f>(Q19/Poblacion!Q16)*1000</f>
        <v>10.153174184280896</v>
      </c>
      <c r="AD16" s="28">
        <f>(R19/Poblacion!R16)*1000</f>
        <v>5.0910613776688711</v>
      </c>
      <c r="AM16" s="26">
        <f>AA12/1000*Poblacion!Q12</f>
        <v>19.745017570109475</v>
      </c>
      <c r="AN16" s="26">
        <f>AB12/1000*Poblacion!R12</f>
        <v>4.094806581927406</v>
      </c>
    </row>
    <row r="17" spans="2:40" ht="16.5" thickBot="1" x14ac:dyDescent="0.3">
      <c r="B17" s="15">
        <v>40</v>
      </c>
      <c r="C17" s="15">
        <v>44</v>
      </c>
      <c r="D17" s="16">
        <f t="shared" si="0"/>
        <v>30</v>
      </c>
      <c r="E17" s="16">
        <v>18</v>
      </c>
      <c r="F17" s="16">
        <v>12</v>
      </c>
      <c r="G17" s="16">
        <f t="shared" si="1"/>
        <v>144</v>
      </c>
      <c r="H17" s="16">
        <v>104</v>
      </c>
      <c r="I17" s="16">
        <v>40</v>
      </c>
      <c r="J17" s="2"/>
      <c r="K17" s="16">
        <v>40</v>
      </c>
      <c r="L17" s="16">
        <v>44</v>
      </c>
      <c r="M17" s="22">
        <f t="shared" si="2"/>
        <v>30.463803108994089</v>
      </c>
      <c r="N17" s="22">
        <f t="shared" si="3"/>
        <v>18.399113082039911</v>
      </c>
      <c r="O17" s="22">
        <f t="shared" si="4"/>
        <v>12.064690026954178</v>
      </c>
      <c r="P17" s="22">
        <f t="shared" si="5"/>
        <v>144.24615384615385</v>
      </c>
      <c r="Q17" s="22">
        <f t="shared" si="6"/>
        <v>104.17777777777778</v>
      </c>
      <c r="R17" s="22">
        <f t="shared" si="7"/>
        <v>40.068376068376068</v>
      </c>
      <c r="Z17" s="27" t="s">
        <v>33</v>
      </c>
      <c r="AA17" s="28">
        <f>(N20/Poblacion!M17)*1000</f>
        <v>3.2400008439901899</v>
      </c>
      <c r="AB17" s="28">
        <f>(O20/Poblacion!N17)*1000</f>
        <v>2.2953143729182046</v>
      </c>
      <c r="AC17" s="28">
        <f>(Q20/Poblacion!Q17)*1000</f>
        <v>18.573425365302747</v>
      </c>
      <c r="AD17" s="28">
        <f>(R20/Poblacion!R17)*1000</f>
        <v>9.1361097455760234</v>
      </c>
      <c r="AM17" s="26">
        <f>AA13/1000*Poblacion!Q13</f>
        <v>23.417589697284626</v>
      </c>
      <c r="AN17" s="26">
        <f>AB13/1000*Poblacion!R13</f>
        <v>4.8316574211897292</v>
      </c>
    </row>
    <row r="18" spans="2:40" ht="16.5" thickBot="1" x14ac:dyDescent="0.3">
      <c r="B18" s="15">
        <v>45</v>
      </c>
      <c r="C18" s="15">
        <v>49</v>
      </c>
      <c r="D18" s="16">
        <f t="shared" si="0"/>
        <v>42</v>
      </c>
      <c r="E18" s="16">
        <v>32</v>
      </c>
      <c r="F18" s="16">
        <v>10</v>
      </c>
      <c r="G18" s="16">
        <f t="shared" si="1"/>
        <v>194</v>
      </c>
      <c r="H18" s="16">
        <v>133</v>
      </c>
      <c r="I18" s="16">
        <v>61</v>
      </c>
      <c r="J18" s="2"/>
      <c r="K18" s="16">
        <v>45</v>
      </c>
      <c r="L18" s="16">
        <v>49</v>
      </c>
      <c r="M18" s="22">
        <f t="shared" si="2"/>
        <v>42.763442723866106</v>
      </c>
      <c r="N18" s="22">
        <f t="shared" si="3"/>
        <v>32.709534368070955</v>
      </c>
      <c r="O18" s="22">
        <f t="shared" si="4"/>
        <v>10.05390835579515</v>
      </c>
      <c r="P18" s="22">
        <f t="shared" si="5"/>
        <v>194.33162393162394</v>
      </c>
      <c r="Q18" s="22">
        <f t="shared" si="6"/>
        <v>133.22735042735042</v>
      </c>
      <c r="R18" s="22">
        <f t="shared" si="7"/>
        <v>61.104273504273507</v>
      </c>
      <c r="Z18" s="27" t="s">
        <v>34</v>
      </c>
      <c r="AA18" s="28">
        <f>(N21/Poblacion!M18)*1000</f>
        <v>5.8345891577366542</v>
      </c>
      <c r="AB18" s="28">
        <f>(O21/Poblacion!N18)*1000</f>
        <v>3.5298152132510445</v>
      </c>
      <c r="AC18" s="28">
        <f>(Q21/Poblacion!Q18)*1000</f>
        <v>24.412498889067212</v>
      </c>
      <c r="AD18" s="28">
        <f>(R21/Poblacion!R18)*1000</f>
        <v>14.476440436421194</v>
      </c>
      <c r="AM18" s="26">
        <f>AA14/1000*Poblacion!Q14</f>
        <v>18.301165763864368</v>
      </c>
      <c r="AN18" s="26">
        <f>AB14/1000*Poblacion!R14</f>
        <v>12.1001082984604</v>
      </c>
    </row>
    <row r="19" spans="2:40" ht="16.5" thickBot="1" x14ac:dyDescent="0.3">
      <c r="B19" s="15">
        <v>50</v>
      </c>
      <c r="C19" s="15">
        <v>54</v>
      </c>
      <c r="D19" s="16">
        <f t="shared" si="0"/>
        <v>44</v>
      </c>
      <c r="E19" s="16">
        <v>27</v>
      </c>
      <c r="F19" s="16">
        <v>17</v>
      </c>
      <c r="G19" s="16">
        <f t="shared" si="1"/>
        <v>254</v>
      </c>
      <c r="H19" s="16">
        <v>161</v>
      </c>
      <c r="I19" s="16">
        <v>93</v>
      </c>
      <c r="J19" s="2"/>
      <c r="K19" s="16">
        <v>50</v>
      </c>
      <c r="L19" s="16">
        <v>54</v>
      </c>
      <c r="M19" s="22">
        <f t="shared" si="2"/>
        <v>44.690313827911623</v>
      </c>
      <c r="N19" s="22">
        <f t="shared" si="3"/>
        <v>27.59866962305987</v>
      </c>
      <c r="O19" s="22">
        <f t="shared" si="4"/>
        <v>17.091644204851754</v>
      </c>
      <c r="P19" s="22">
        <f t="shared" si="5"/>
        <v>254.43418803418803</v>
      </c>
      <c r="Q19" s="22">
        <f t="shared" si="6"/>
        <v>161.27521367521368</v>
      </c>
      <c r="R19" s="22">
        <f t="shared" si="7"/>
        <v>93.158974358974362</v>
      </c>
      <c r="Z19" s="27" t="s">
        <v>35</v>
      </c>
      <c r="AA19" s="28">
        <f>(N22/Poblacion!M19)*1000</f>
        <v>9.4031846982493406</v>
      </c>
      <c r="AB19" s="28">
        <f>(O22/Poblacion!N19)*1000</f>
        <v>7.360490687690465</v>
      </c>
      <c r="AC19" s="28">
        <f>(Q22/Poblacion!Q19)*1000</f>
        <v>36.161303747746722</v>
      </c>
      <c r="AD19" s="28">
        <f>(R22/Poblacion!R19)*1000</f>
        <v>20.630712253863468</v>
      </c>
      <c r="AM19" s="26">
        <f>AA15/1000*Poblacion!Q15</f>
        <v>37.10496430362128</v>
      </c>
      <c r="AN19" s="26">
        <f>AB15/1000*Poblacion!R15</f>
        <v>11.837150243938989</v>
      </c>
    </row>
    <row r="20" spans="2:40" ht="16.5" thickBot="1" x14ac:dyDescent="0.3">
      <c r="B20" s="15">
        <v>55</v>
      </c>
      <c r="C20" s="15">
        <v>59</v>
      </c>
      <c r="D20" s="16">
        <f t="shared" si="0"/>
        <v>51</v>
      </c>
      <c r="E20" s="16">
        <v>29</v>
      </c>
      <c r="F20" s="16">
        <v>22</v>
      </c>
      <c r="G20" s="16">
        <f t="shared" si="1"/>
        <v>399</v>
      </c>
      <c r="H20" s="16">
        <v>256</v>
      </c>
      <c r="I20" s="16">
        <v>143</v>
      </c>
      <c r="J20" s="2"/>
      <c r="K20" s="16">
        <v>55</v>
      </c>
      <c r="L20" s="16">
        <v>59</v>
      </c>
      <c r="M20" s="22">
        <f t="shared" si="2"/>
        <v>51.761613903813632</v>
      </c>
      <c r="N20" s="22">
        <f t="shared" si="3"/>
        <v>29.643015521064303</v>
      </c>
      <c r="O20" s="22">
        <f t="shared" si="4"/>
        <v>22.11859838274933</v>
      </c>
      <c r="P20" s="22">
        <f t="shared" si="5"/>
        <v>399.68205128205125</v>
      </c>
      <c r="Q20" s="22">
        <f t="shared" si="6"/>
        <v>256.43760683760684</v>
      </c>
      <c r="R20" s="22">
        <f t="shared" si="7"/>
        <v>143.24444444444444</v>
      </c>
      <c r="Z20" s="27" t="s">
        <v>36</v>
      </c>
      <c r="AA20" s="28">
        <f>(N23/Poblacion!M20)*1000</f>
        <v>16.605005806515067</v>
      </c>
      <c r="AB20" s="28">
        <f>(O23/Poblacion!N20)*1000</f>
        <v>13.365769863129165</v>
      </c>
      <c r="AC20" s="28">
        <f>(Q23/Poblacion!Q20)*1000</f>
        <v>55.471223430719675</v>
      </c>
      <c r="AD20" s="28">
        <f>(R23/Poblacion!R20)*1000</f>
        <v>35.243941543676868</v>
      </c>
      <c r="AM20" s="26">
        <f>AA16/1000*Poblacion!Q16</f>
        <v>35.982896783135004</v>
      </c>
      <c r="AN20" s="26">
        <f>AB16/1000*Poblacion!R16</f>
        <v>23.436210266905572</v>
      </c>
    </row>
    <row r="21" spans="2:40" ht="16.5" thickBot="1" x14ac:dyDescent="0.3">
      <c r="B21" s="15">
        <v>60</v>
      </c>
      <c r="C21" s="15">
        <v>64</v>
      </c>
      <c r="D21" s="16">
        <f t="shared" si="0"/>
        <v>57</v>
      </c>
      <c r="E21" s="16">
        <v>35</v>
      </c>
      <c r="F21" s="16">
        <v>22</v>
      </c>
      <c r="G21" s="16">
        <f t="shared" si="1"/>
        <v>458</v>
      </c>
      <c r="H21" s="16">
        <v>274</v>
      </c>
      <c r="I21" s="16">
        <v>184</v>
      </c>
      <c r="J21" s="2"/>
      <c r="K21" s="16">
        <v>60</v>
      </c>
      <c r="L21" s="16">
        <v>64</v>
      </c>
      <c r="M21" s="22">
        <f t="shared" si="2"/>
        <v>57.894651597826936</v>
      </c>
      <c r="N21" s="22">
        <f t="shared" si="3"/>
        <v>35.77605321507761</v>
      </c>
      <c r="O21" s="22">
        <f t="shared" si="4"/>
        <v>22.11859838274933</v>
      </c>
      <c r="P21" s="22">
        <f t="shared" si="5"/>
        <v>458.78290598290596</v>
      </c>
      <c r="Q21" s="22">
        <f t="shared" si="6"/>
        <v>274.46837606837607</v>
      </c>
      <c r="R21" s="22">
        <f t="shared" si="7"/>
        <v>184.31452991452991</v>
      </c>
      <c r="Z21" s="27" t="s">
        <v>37</v>
      </c>
      <c r="AA21" s="28">
        <f>(N24/Poblacion!M21)*1000</f>
        <v>30.260793357936155</v>
      </c>
      <c r="AB21" s="28">
        <f>(O24/Poblacion!N21)*1000</f>
        <v>31.375026705343</v>
      </c>
      <c r="AC21" s="28">
        <f>(Q24/Poblacion!Q21)*1000</f>
        <v>74.614114961797853</v>
      </c>
      <c r="AD21" s="28">
        <f>(R24/Poblacion!R21)*1000</f>
        <v>58.057092367028226</v>
      </c>
      <c r="AM21" s="26">
        <f>AA17/1000*Poblacion!Q17</f>
        <v>44.733701309442203</v>
      </c>
      <c r="AN21" s="26">
        <f>AB17/1000*Poblacion!R17</f>
        <v>35.988078222596549</v>
      </c>
    </row>
    <row r="22" spans="2:40" ht="16.5" thickBot="1" x14ac:dyDescent="0.3">
      <c r="B22" s="15">
        <v>65</v>
      </c>
      <c r="C22" s="15">
        <v>69</v>
      </c>
      <c r="D22" s="16">
        <f t="shared" si="0"/>
        <v>63</v>
      </c>
      <c r="E22" s="16">
        <v>34</v>
      </c>
      <c r="F22" s="16">
        <v>29</v>
      </c>
      <c r="G22" s="16">
        <f t="shared" si="1"/>
        <v>483</v>
      </c>
      <c r="H22" s="17">
        <v>295</v>
      </c>
      <c r="I22" s="16">
        <v>188</v>
      </c>
      <c r="J22" s="2"/>
      <c r="K22" s="16">
        <v>65</v>
      </c>
      <c r="L22" s="16">
        <v>69</v>
      </c>
      <c r="M22" s="22">
        <f t="shared" si="2"/>
        <v>63.910214497881327</v>
      </c>
      <c r="N22" s="22">
        <f t="shared" si="3"/>
        <v>34.753880266075392</v>
      </c>
      <c r="O22" s="22">
        <f t="shared" si="4"/>
        <v>29.156334231805932</v>
      </c>
      <c r="P22" s="22">
        <f t="shared" si="5"/>
        <v>483.825641025641</v>
      </c>
      <c r="Q22" s="22">
        <f t="shared" si="6"/>
        <v>295.5042735042735</v>
      </c>
      <c r="R22" s="22">
        <f t="shared" si="7"/>
        <v>188.32136752136751</v>
      </c>
      <c r="Z22" s="27" t="s">
        <v>38</v>
      </c>
      <c r="AA22" s="28">
        <f>(N25/Poblacion!M22)*1000</f>
        <v>34.702109748684094</v>
      </c>
      <c r="AB22" s="28">
        <f>(O25/Poblacion!N22)*1000</f>
        <v>38.425587719294867</v>
      </c>
      <c r="AC22" s="28">
        <f>(Q25/Poblacion!Q22)*1000</f>
        <v>101.66167515935818</v>
      </c>
      <c r="AD22" s="28">
        <f>(R25/Poblacion!R22)*1000</f>
        <v>84.263727421473732</v>
      </c>
      <c r="AM22" s="26">
        <f>AA18/1000*Poblacion!Q18</f>
        <v>65.597963503330746</v>
      </c>
      <c r="AN22" s="26">
        <f>AB18/1000*Poblacion!R18</f>
        <v>44.94172684043869</v>
      </c>
    </row>
    <row r="23" spans="2:40" ht="16.5" thickBot="1" x14ac:dyDescent="0.3">
      <c r="B23" s="15">
        <v>70</v>
      </c>
      <c r="C23" s="15">
        <v>74</v>
      </c>
      <c r="D23" s="16">
        <f t="shared" si="0"/>
        <v>69</v>
      </c>
      <c r="E23" s="16">
        <v>35</v>
      </c>
      <c r="F23" s="16">
        <v>34</v>
      </c>
      <c r="G23" s="16">
        <f t="shared" si="1"/>
        <v>474</v>
      </c>
      <c r="H23" s="16">
        <v>281</v>
      </c>
      <c r="I23" s="16">
        <v>193</v>
      </c>
      <c r="J23" s="2"/>
      <c r="K23" s="16">
        <v>70</v>
      </c>
      <c r="L23" s="16">
        <v>74</v>
      </c>
      <c r="M23" s="22">
        <f t="shared" si="2"/>
        <v>69.959341624781118</v>
      </c>
      <c r="N23" s="22">
        <f t="shared" si="3"/>
        <v>35.77605321507761</v>
      </c>
      <c r="O23" s="22">
        <f t="shared" si="4"/>
        <v>34.183288409703508</v>
      </c>
      <c r="P23" s="22">
        <f t="shared" si="5"/>
        <v>474.81025641025644</v>
      </c>
      <c r="Q23" s="22">
        <f t="shared" si="6"/>
        <v>281.48034188034188</v>
      </c>
      <c r="R23" s="22">
        <f t="shared" si="7"/>
        <v>193.32991452991453</v>
      </c>
      <c r="Z23" s="27" t="s">
        <v>39</v>
      </c>
      <c r="AA23" s="28">
        <f>(N26/Poblacion!M23)*1000</f>
        <v>116.98582036982074</v>
      </c>
      <c r="AB23" s="28">
        <f>(O26/Poblacion!N23)*1000</f>
        <v>93.312858471654508</v>
      </c>
      <c r="AC23" s="28">
        <f>(Q26/Poblacion!Q23)*1000</f>
        <v>207.98843160251195</v>
      </c>
      <c r="AD23" s="28">
        <f>(R26/Poblacion!R23)*1000</f>
        <v>156.4233938291832</v>
      </c>
      <c r="AM23" s="26">
        <f>AA19/1000*Poblacion!Q19</f>
        <v>76.841290963017812</v>
      </c>
      <c r="AN23" s="26">
        <f>AB19/1000*Poblacion!R19</f>
        <v>67.18806674619681</v>
      </c>
    </row>
    <row r="24" spans="2:40" ht="16.5" thickBot="1" x14ac:dyDescent="0.3">
      <c r="B24" s="15">
        <v>75</v>
      </c>
      <c r="C24" s="15">
        <v>79</v>
      </c>
      <c r="D24" s="16">
        <f t="shared" si="0"/>
        <v>91</v>
      </c>
      <c r="E24" s="16">
        <v>38</v>
      </c>
      <c r="F24" s="16">
        <v>53</v>
      </c>
      <c r="G24" s="16">
        <f t="shared" si="1"/>
        <v>375</v>
      </c>
      <c r="H24" s="16">
        <v>200</v>
      </c>
      <c r="I24" s="16">
        <v>175</v>
      </c>
      <c r="J24" s="2"/>
      <c r="K24" s="16">
        <v>75</v>
      </c>
      <c r="L24" s="16">
        <v>79</v>
      </c>
      <c r="M24" s="22">
        <f t="shared" si="2"/>
        <v>92.12828634779855</v>
      </c>
      <c r="N24" s="22">
        <f t="shared" si="3"/>
        <v>38.842572062084258</v>
      </c>
      <c r="O24" s="22">
        <f t="shared" si="4"/>
        <v>53.285714285714292</v>
      </c>
      <c r="P24" s="22">
        <f t="shared" si="5"/>
        <v>375.64102564102564</v>
      </c>
      <c r="Q24" s="22">
        <f t="shared" si="6"/>
        <v>200.34188034188034</v>
      </c>
      <c r="R24" s="22">
        <f t="shared" si="7"/>
        <v>175.29914529914529</v>
      </c>
      <c r="AM24" s="26">
        <f>AA20/1000*Poblacion!Q20</f>
        <v>84.259593033502398</v>
      </c>
      <c r="AN24" s="26">
        <f>AB20/1000*Poblacion!R20</f>
        <v>73.317654952496824</v>
      </c>
    </row>
    <row r="25" spans="2:40" ht="16.5" thickBot="1" x14ac:dyDescent="0.3">
      <c r="B25" s="15">
        <v>80</v>
      </c>
      <c r="C25" s="15">
        <v>84</v>
      </c>
      <c r="D25" s="16">
        <f t="shared" si="0"/>
        <v>66</v>
      </c>
      <c r="E25" s="16">
        <v>24</v>
      </c>
      <c r="F25" s="16">
        <v>42</v>
      </c>
      <c r="G25" s="16">
        <f t="shared" si="1"/>
        <v>296</v>
      </c>
      <c r="H25" s="16">
        <v>143</v>
      </c>
      <c r="I25" s="16">
        <v>153</v>
      </c>
      <c r="J25" s="2"/>
      <c r="K25" s="16">
        <v>80</v>
      </c>
      <c r="L25" s="16">
        <v>84</v>
      </c>
      <c r="M25" s="22">
        <f t="shared" si="2"/>
        <v>66.758565870392843</v>
      </c>
      <c r="N25" s="22">
        <f t="shared" si="3"/>
        <v>24.532150776053214</v>
      </c>
      <c r="O25" s="22">
        <f t="shared" si="4"/>
        <v>42.226415094339629</v>
      </c>
      <c r="P25" s="22">
        <f t="shared" si="5"/>
        <v>296.50598290598293</v>
      </c>
      <c r="Q25" s="22">
        <f t="shared" si="6"/>
        <v>143.24444444444444</v>
      </c>
      <c r="R25" s="22">
        <f t="shared" si="7"/>
        <v>153.26153846153846</v>
      </c>
      <c r="AM25" s="26">
        <f>AA21/1000*Poblacion!Q21</f>
        <v>81.251439423626366</v>
      </c>
      <c r="AN25" s="26">
        <f>AB21/1000*Poblacion!R21</f>
        <v>94.734599011852239</v>
      </c>
    </row>
    <row r="26" spans="2:40" ht="16.5" thickBot="1" x14ac:dyDescent="0.3">
      <c r="B26" s="15">
        <v>85</v>
      </c>
      <c r="C26" s="15">
        <v>100</v>
      </c>
      <c r="D26" s="16">
        <f t="shared" si="0"/>
        <v>140</v>
      </c>
      <c r="E26" s="16">
        <v>58</v>
      </c>
      <c r="F26" s="16">
        <v>82</v>
      </c>
      <c r="G26" s="16">
        <f t="shared" si="1"/>
        <v>449</v>
      </c>
      <c r="H26" s="16">
        <v>192</v>
      </c>
      <c r="I26" s="16">
        <v>257</v>
      </c>
      <c r="J26" s="2"/>
      <c r="K26" s="16">
        <v>85</v>
      </c>
      <c r="L26" s="16">
        <v>100</v>
      </c>
      <c r="M26" s="22">
        <f t="shared" si="2"/>
        <v>141.72807955964882</v>
      </c>
      <c r="N26" s="22">
        <f t="shared" si="3"/>
        <v>59.286031042128606</v>
      </c>
      <c r="O26" s="22">
        <f t="shared" si="4"/>
        <v>82.44204851752022</v>
      </c>
      <c r="P26" s="22">
        <f t="shared" si="5"/>
        <v>449.76752136752134</v>
      </c>
      <c r="Q26" s="22">
        <f t="shared" si="6"/>
        <v>192.32820512820513</v>
      </c>
      <c r="R26" s="22">
        <f t="shared" si="7"/>
        <v>257.43931623931621</v>
      </c>
      <c r="AM26" s="26">
        <f>AA22/1000*Poblacion!Q22</f>
        <v>48.896345886572888</v>
      </c>
      <c r="AN26" s="26">
        <f>AB22/1000*Poblacion!R22</f>
        <v>69.889676974426592</v>
      </c>
    </row>
    <row r="27" spans="2:40" ht="16.5" thickBot="1" x14ac:dyDescent="0.3">
      <c r="B27" s="162" t="s">
        <v>7</v>
      </c>
      <c r="C27" s="162"/>
      <c r="D27" s="16">
        <f t="shared" si="0"/>
        <v>12</v>
      </c>
      <c r="E27" s="16">
        <v>10</v>
      </c>
      <c r="F27" s="16">
        <v>2</v>
      </c>
      <c r="G27" s="16">
        <f t="shared" si="1"/>
        <v>7</v>
      </c>
      <c r="H27" s="18">
        <v>4</v>
      </c>
      <c r="I27" s="18">
        <v>3</v>
      </c>
      <c r="J27" s="3"/>
      <c r="K27" s="23"/>
      <c r="L27" s="23"/>
      <c r="M27" s="23"/>
      <c r="N27" s="23"/>
      <c r="O27" s="23"/>
      <c r="P27" s="23"/>
      <c r="Q27" s="23"/>
      <c r="R27" s="23"/>
      <c r="AM27" s="26">
        <f>AA23/1000*Poblacion!Q23</f>
        <v>108.17752066219487</v>
      </c>
      <c r="AN27" s="26">
        <f>AB23/1000*Poblacion!R23</f>
        <v>153.57292725352616</v>
      </c>
    </row>
    <row r="31" spans="2:40" x14ac:dyDescent="0.25">
      <c r="E31" s="157" t="s">
        <v>40</v>
      </c>
      <c r="F31" s="157"/>
      <c r="H31" s="158" t="s">
        <v>40</v>
      </c>
      <c r="I31" s="158"/>
    </row>
    <row r="32" spans="2:40" x14ac:dyDescent="0.25">
      <c r="E32" s="9" t="s">
        <v>9</v>
      </c>
      <c r="F32" s="10" t="s">
        <v>10</v>
      </c>
      <c r="H32" s="12" t="s">
        <v>9</v>
      </c>
      <c r="I32" s="13" t="s">
        <v>10</v>
      </c>
    </row>
    <row r="33" spans="5:9" x14ac:dyDescent="0.25">
      <c r="E33" s="11">
        <f>E27/SUM(E8:E26)</f>
        <v>2.2172949002217297E-2</v>
      </c>
      <c r="F33" s="11">
        <f>F27/SUM(F8:F26)</f>
        <v>5.3908355795148251E-3</v>
      </c>
      <c r="H33" s="14">
        <f>H27/((SUM(H8:H26))-H27)</f>
        <v>1.7094017094017094E-3</v>
      </c>
      <c r="I33" s="14">
        <f>I27/((SUM(I8:I26))-I27)</f>
        <v>1.9047619047619048E-3</v>
      </c>
    </row>
  </sheetData>
  <mergeCells count="33">
    <mergeCell ref="AA3:AB3"/>
    <mergeCell ref="AG2:AJ2"/>
    <mergeCell ref="AG3:AH3"/>
    <mergeCell ref="AG7:AH7"/>
    <mergeCell ref="AL2:AO2"/>
    <mergeCell ref="AL3:AM3"/>
    <mergeCell ref="AN3:AO3"/>
    <mergeCell ref="AL4:AM4"/>
    <mergeCell ref="AN4:AO4"/>
    <mergeCell ref="AM7:AN7"/>
    <mergeCell ref="AI3:AJ3"/>
    <mergeCell ref="AI7:AJ7"/>
    <mergeCell ref="A1:C1"/>
    <mergeCell ref="B27:C27"/>
    <mergeCell ref="AC3:AD3"/>
    <mergeCell ref="T6:U6"/>
    <mergeCell ref="V6:W6"/>
    <mergeCell ref="T5:W5"/>
    <mergeCell ref="Z2:AD2"/>
    <mergeCell ref="B4:I4"/>
    <mergeCell ref="K4:R4"/>
    <mergeCell ref="B6:B7"/>
    <mergeCell ref="C6:C7"/>
    <mergeCell ref="D6:F6"/>
    <mergeCell ref="G6:I6"/>
    <mergeCell ref="K6:K7"/>
    <mergeCell ref="L6:L7"/>
    <mergeCell ref="M6:O6"/>
    <mergeCell ref="E31:F31"/>
    <mergeCell ref="H31:I31"/>
    <mergeCell ref="AI8:AJ8"/>
    <mergeCell ref="P6:R6"/>
    <mergeCell ref="AG8:AH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opLeftCell="A46" workbookViewId="0">
      <selection activeCell="I61" sqref="I61"/>
    </sheetView>
  </sheetViews>
  <sheetFormatPr baseColWidth="10" defaultRowHeight="15" x14ac:dyDescent="0.25"/>
  <cols>
    <col min="2" max="2" width="37.7109375" customWidth="1"/>
    <col min="3" max="3" width="16" customWidth="1"/>
    <col min="4" max="4" width="13.42578125" customWidth="1"/>
    <col min="12" max="12" width="14.85546875" bestFit="1" customWidth="1"/>
  </cols>
  <sheetData>
    <row r="1" spans="1:12" ht="15.75" customHeight="1" x14ac:dyDescent="0.3">
      <c r="A1" s="175" t="s">
        <v>151</v>
      </c>
      <c r="B1" s="175"/>
    </row>
    <row r="2" spans="1:12" ht="13.5" customHeight="1" x14ac:dyDescent="0.25"/>
    <row r="3" spans="1:12" ht="18.75" customHeight="1" x14ac:dyDescent="0.25">
      <c r="B3" s="37" t="s">
        <v>41</v>
      </c>
      <c r="C3" t="s">
        <v>42</v>
      </c>
    </row>
    <row r="4" spans="1:12" ht="16.5" x14ac:dyDescent="0.25">
      <c r="B4" s="36"/>
      <c r="C4" s="174">
        <v>2009</v>
      </c>
      <c r="D4" s="174"/>
      <c r="E4" s="174">
        <v>2010</v>
      </c>
      <c r="F4" s="174"/>
      <c r="G4" s="174">
        <v>2011</v>
      </c>
      <c r="H4" s="174"/>
      <c r="I4" s="174">
        <v>2019</v>
      </c>
      <c r="J4" s="174"/>
      <c r="K4" s="174">
        <v>2020</v>
      </c>
      <c r="L4" s="174"/>
    </row>
    <row r="5" spans="1:12" ht="16.5" x14ac:dyDescent="0.25">
      <c r="B5" s="52" t="s">
        <v>43</v>
      </c>
      <c r="C5" s="40" t="s">
        <v>5</v>
      </c>
      <c r="D5" s="40" t="s">
        <v>6</v>
      </c>
      <c r="E5" s="41" t="s">
        <v>5</v>
      </c>
      <c r="F5" s="41" t="s">
        <v>6</v>
      </c>
      <c r="G5" s="42" t="s">
        <v>5</v>
      </c>
      <c r="H5" s="42" t="s">
        <v>6</v>
      </c>
      <c r="I5" s="41" t="s">
        <v>5</v>
      </c>
      <c r="J5" s="41" t="s">
        <v>6</v>
      </c>
      <c r="K5" s="43" t="s">
        <v>5</v>
      </c>
      <c r="L5" s="43" t="s">
        <v>6</v>
      </c>
    </row>
    <row r="6" spans="1:12" ht="16.5" x14ac:dyDescent="0.25">
      <c r="B6" s="52" t="s">
        <v>44</v>
      </c>
      <c r="C6" s="44">
        <v>3</v>
      </c>
      <c r="D6" s="44">
        <v>8</v>
      </c>
      <c r="E6" s="45">
        <v>3</v>
      </c>
      <c r="F6" s="45">
        <v>6</v>
      </c>
      <c r="G6" s="46">
        <v>3</v>
      </c>
      <c r="H6" s="46">
        <v>7</v>
      </c>
      <c r="I6" s="45">
        <v>3</v>
      </c>
      <c r="J6" s="45">
        <v>7</v>
      </c>
      <c r="K6" s="47">
        <v>4</v>
      </c>
      <c r="L6" s="47">
        <v>2</v>
      </c>
    </row>
    <row r="7" spans="1:12" ht="16.5" x14ac:dyDescent="0.25">
      <c r="B7" s="52" t="s">
        <v>45</v>
      </c>
      <c r="C7" s="48">
        <v>283</v>
      </c>
      <c r="D7" s="48">
        <v>275</v>
      </c>
      <c r="E7" s="49">
        <v>270</v>
      </c>
      <c r="F7" s="49">
        <v>283</v>
      </c>
      <c r="G7" s="50">
        <v>341</v>
      </c>
      <c r="H7" s="50">
        <v>292</v>
      </c>
      <c r="I7" s="49">
        <v>484</v>
      </c>
      <c r="J7" s="49">
        <v>429</v>
      </c>
      <c r="K7" s="47">
        <v>254</v>
      </c>
      <c r="L7" s="47">
        <v>235</v>
      </c>
    </row>
    <row r="8" spans="1:12" ht="16.5" x14ac:dyDescent="0.25">
      <c r="B8" s="52" t="s">
        <v>46</v>
      </c>
      <c r="C8" s="48">
        <v>405</v>
      </c>
      <c r="D8" s="48">
        <v>393</v>
      </c>
      <c r="E8" s="49">
        <v>438</v>
      </c>
      <c r="F8" s="49">
        <v>410</v>
      </c>
      <c r="G8" s="50">
        <v>531</v>
      </c>
      <c r="H8" s="50">
        <v>500</v>
      </c>
      <c r="I8" s="49">
        <v>827</v>
      </c>
      <c r="J8" s="49">
        <v>800</v>
      </c>
      <c r="K8" s="51">
        <v>559</v>
      </c>
      <c r="L8" s="51">
        <v>587</v>
      </c>
    </row>
    <row r="9" spans="1:12" ht="16.5" x14ac:dyDescent="0.25">
      <c r="B9" s="52" t="s">
        <v>47</v>
      </c>
      <c r="C9" s="48">
        <v>312</v>
      </c>
      <c r="D9" s="48">
        <v>305</v>
      </c>
      <c r="E9" s="49">
        <v>315</v>
      </c>
      <c r="F9" s="49">
        <v>334</v>
      </c>
      <c r="G9" s="50">
        <v>525</v>
      </c>
      <c r="H9" s="50">
        <v>453</v>
      </c>
      <c r="I9" s="49">
        <v>883</v>
      </c>
      <c r="J9" s="49">
        <v>878</v>
      </c>
      <c r="K9" s="51">
        <v>648</v>
      </c>
      <c r="L9" s="51">
        <v>592</v>
      </c>
    </row>
    <row r="10" spans="1:12" ht="16.5" x14ac:dyDescent="0.25">
      <c r="B10" s="52" t="s">
        <v>48</v>
      </c>
      <c r="C10" s="48">
        <v>180</v>
      </c>
      <c r="D10" s="48">
        <v>204</v>
      </c>
      <c r="E10" s="49">
        <v>173</v>
      </c>
      <c r="F10" s="49">
        <v>193</v>
      </c>
      <c r="G10" s="50">
        <v>260</v>
      </c>
      <c r="H10" s="50">
        <v>285</v>
      </c>
      <c r="I10" s="49">
        <v>658</v>
      </c>
      <c r="J10" s="49">
        <v>641</v>
      </c>
      <c r="K10" s="51">
        <v>442</v>
      </c>
      <c r="L10" s="51">
        <v>468</v>
      </c>
    </row>
    <row r="11" spans="1:12" ht="16.5" x14ac:dyDescent="0.25">
      <c r="B11" s="52" t="s">
        <v>49</v>
      </c>
      <c r="C11" s="48">
        <v>86</v>
      </c>
      <c r="D11" s="48">
        <v>81</v>
      </c>
      <c r="E11" s="49">
        <v>89</v>
      </c>
      <c r="F11" s="49">
        <v>101</v>
      </c>
      <c r="G11" s="50">
        <v>165</v>
      </c>
      <c r="H11" s="50">
        <v>143</v>
      </c>
      <c r="I11" s="49">
        <v>298</v>
      </c>
      <c r="J11" s="49">
        <v>277</v>
      </c>
      <c r="K11" s="47">
        <v>195</v>
      </c>
      <c r="L11" s="47">
        <v>197</v>
      </c>
    </row>
    <row r="12" spans="1:12" ht="16.5" x14ac:dyDescent="0.25">
      <c r="B12" s="52" t="s">
        <v>50</v>
      </c>
      <c r="C12" s="44">
        <v>24</v>
      </c>
      <c r="D12" s="44">
        <v>20</v>
      </c>
      <c r="E12" s="45">
        <v>21</v>
      </c>
      <c r="F12" s="45">
        <v>12</v>
      </c>
      <c r="G12" s="46">
        <v>19</v>
      </c>
      <c r="H12" s="46">
        <v>28</v>
      </c>
      <c r="I12" s="45">
        <v>70</v>
      </c>
      <c r="J12" s="45">
        <v>67</v>
      </c>
      <c r="K12" s="47">
        <v>49</v>
      </c>
      <c r="L12" s="47">
        <v>49</v>
      </c>
    </row>
    <row r="13" spans="1:12" ht="16.5" x14ac:dyDescent="0.25">
      <c r="B13" s="52" t="s">
        <v>51</v>
      </c>
      <c r="C13" s="44"/>
      <c r="D13" s="44">
        <v>3</v>
      </c>
      <c r="E13" s="45">
        <v>1</v>
      </c>
      <c r="F13" s="45">
        <v>2</v>
      </c>
      <c r="G13" s="46">
        <v>1</v>
      </c>
      <c r="H13" s="46">
        <v>2</v>
      </c>
      <c r="I13" s="45">
        <v>2</v>
      </c>
      <c r="J13" s="45">
        <v>3</v>
      </c>
      <c r="K13" s="47">
        <v>6</v>
      </c>
      <c r="L13" s="47">
        <v>1</v>
      </c>
    </row>
    <row r="14" spans="1:12" ht="16.5" x14ac:dyDescent="0.25">
      <c r="B14" s="52" t="s">
        <v>52</v>
      </c>
      <c r="C14" s="44"/>
      <c r="D14" s="44"/>
      <c r="E14" s="45"/>
      <c r="F14" s="45"/>
      <c r="G14" s="46"/>
      <c r="H14" s="46"/>
      <c r="I14" s="45">
        <v>1</v>
      </c>
      <c r="J14" s="45">
        <v>2</v>
      </c>
      <c r="K14" s="47" t="s">
        <v>54</v>
      </c>
      <c r="L14" s="47" t="s">
        <v>54</v>
      </c>
    </row>
    <row r="15" spans="1:12" ht="16.5" x14ac:dyDescent="0.25">
      <c r="B15" s="52" t="s">
        <v>53</v>
      </c>
      <c r="C15" s="44">
        <v>20</v>
      </c>
      <c r="D15" s="44">
        <v>19</v>
      </c>
      <c r="E15" s="45">
        <v>18</v>
      </c>
      <c r="F15" s="49">
        <v>53</v>
      </c>
      <c r="G15" s="46">
        <v>37</v>
      </c>
      <c r="H15" s="46">
        <v>36</v>
      </c>
      <c r="I15" s="45">
        <v>12</v>
      </c>
      <c r="J15" s="45">
        <v>7</v>
      </c>
      <c r="K15" s="47">
        <v>44</v>
      </c>
      <c r="L15" s="47">
        <v>35</v>
      </c>
    </row>
    <row r="19" spans="2:12" ht="18" x14ac:dyDescent="0.25">
      <c r="B19" s="38" t="s">
        <v>55</v>
      </c>
    </row>
    <row r="20" spans="2:12" ht="18.75" x14ac:dyDescent="0.25">
      <c r="B20" s="36"/>
      <c r="C20" s="176">
        <v>2009</v>
      </c>
      <c r="D20" s="177"/>
      <c r="E20" s="176">
        <v>2010</v>
      </c>
      <c r="F20" s="177"/>
      <c r="G20" s="176">
        <v>2011</v>
      </c>
      <c r="H20" s="177"/>
      <c r="I20" s="176">
        <v>2019</v>
      </c>
      <c r="J20" s="177"/>
      <c r="K20" s="176">
        <v>2020</v>
      </c>
      <c r="L20" s="177"/>
    </row>
    <row r="21" spans="2:12" ht="16.5" x14ac:dyDescent="0.25">
      <c r="B21" s="56" t="s">
        <v>43</v>
      </c>
      <c r="C21" s="57" t="s">
        <v>5</v>
      </c>
      <c r="D21" s="57" t="s">
        <v>6</v>
      </c>
      <c r="E21" s="41" t="s">
        <v>5</v>
      </c>
      <c r="F21" s="41" t="s">
        <v>6</v>
      </c>
      <c r="G21" s="64" t="s">
        <v>5</v>
      </c>
      <c r="H21" s="64" t="s">
        <v>6</v>
      </c>
      <c r="I21" s="41" t="s">
        <v>5</v>
      </c>
      <c r="J21" s="41" t="s">
        <v>6</v>
      </c>
      <c r="K21" s="43" t="s">
        <v>5</v>
      </c>
      <c r="L21" s="43" t="s">
        <v>6</v>
      </c>
    </row>
    <row r="22" spans="2:12" ht="16.5" x14ac:dyDescent="0.25">
      <c r="B22" s="56" t="s">
        <v>44</v>
      </c>
      <c r="C22" s="58">
        <f>C6+C6*($C$15/SUM($C$6:$C$14))</f>
        <v>3.0464037122969838</v>
      </c>
      <c r="D22" s="58">
        <f>D6+D6*($D$15/SUM($D$6:$D$14))</f>
        <v>8.1179208688906126</v>
      </c>
      <c r="E22" s="63">
        <f>E6+E6*($E$15/SUM($E$6:$E$14))</f>
        <v>3.0412213740458016</v>
      </c>
      <c r="F22" s="63">
        <f>F6+F6*($F$15/SUM($F$6:$F$14))</f>
        <v>6.2371364653243848</v>
      </c>
      <c r="G22" s="65">
        <f>G6+G6*($G$15/SUM($G$6:$G$14))</f>
        <v>3.0601626016260162</v>
      </c>
      <c r="H22" s="65">
        <f>H6+H6*($H$15/SUM($H$6:$H$14))</f>
        <v>7.1473684210526311</v>
      </c>
      <c r="I22" s="63">
        <f>I6+I6*($I$15/SUM($I$6:$I$14))</f>
        <v>3.0111593304401736</v>
      </c>
      <c r="J22" s="63">
        <f>J6+J6*($J$15/SUM($J$6:$J$14))</f>
        <v>7.0157860824742269</v>
      </c>
      <c r="K22" s="59">
        <f>K6+K6*($K$15/SUM($K$6:$K$14))</f>
        <v>4.0815948076031523</v>
      </c>
      <c r="L22" s="59">
        <f>L6+L6*($L$15/SUM($L$6:$L$14))</f>
        <v>2.0328484279680903</v>
      </c>
    </row>
    <row r="23" spans="2:12" ht="16.5" x14ac:dyDescent="0.25">
      <c r="B23" s="56" t="s">
        <v>45</v>
      </c>
      <c r="C23" s="58">
        <f t="shared" ref="C23:C30" si="0">C7+C7*($C$15/SUM($C$6:$C$14))</f>
        <v>287.37741686001544</v>
      </c>
      <c r="D23" s="58">
        <f t="shared" ref="D23:D30" si="1">D7+D7*($D$15/SUM($D$6:$D$14))</f>
        <v>279.05352986811482</v>
      </c>
      <c r="E23" s="63">
        <f t="shared" ref="E23:E30" si="2">E7+E7*($E$15/SUM($E$6:$E$14))</f>
        <v>273.70992366412213</v>
      </c>
      <c r="F23" s="63">
        <f t="shared" ref="F23:F30" si="3">F7+F7*($F$15/SUM($F$6:$F$14))</f>
        <v>294.18493661446684</v>
      </c>
      <c r="G23" s="65">
        <f t="shared" ref="G23:G30" si="4">G7+G7*($G$15/SUM($G$6:$G$14))</f>
        <v>347.83848238482386</v>
      </c>
      <c r="H23" s="65">
        <f t="shared" ref="H23:H30" si="5">H7+H7*($H$15/SUM($H$6:$H$14))</f>
        <v>298.14736842105265</v>
      </c>
      <c r="I23" s="63">
        <f t="shared" ref="I23:I30" si="6">I7+I7*($I$15/SUM($I$6:$I$14))</f>
        <v>485.80037197768132</v>
      </c>
      <c r="J23" s="63">
        <f t="shared" ref="J23:J30" si="7">J7+J7*($J$15/SUM($J$6:$J$14))</f>
        <v>429.96746134020617</v>
      </c>
      <c r="K23" s="59">
        <f t="shared" ref="K23:K29" si="8">K7+K7*($K$15/SUM($K$6:$K$14))</f>
        <v>259.1812702828002</v>
      </c>
      <c r="L23" s="59">
        <f t="shared" ref="L23:L29" si="9">L7+L7*($L$15/SUM($L$6:$L$14))</f>
        <v>238.85969028625058</v>
      </c>
    </row>
    <row r="24" spans="2:12" ht="16.5" x14ac:dyDescent="0.25">
      <c r="B24" s="56" t="s">
        <v>46</v>
      </c>
      <c r="C24" s="58">
        <f t="shared" si="0"/>
        <v>411.26450116009283</v>
      </c>
      <c r="D24" s="58">
        <f t="shared" si="1"/>
        <v>398.79286268425136</v>
      </c>
      <c r="E24" s="63">
        <f t="shared" si="2"/>
        <v>444.018320610687</v>
      </c>
      <c r="F24" s="63">
        <f t="shared" si="3"/>
        <v>426.20432513049963</v>
      </c>
      <c r="G24" s="65">
        <f t="shared" si="4"/>
        <v>541.64878048780486</v>
      </c>
      <c r="H24" s="65">
        <f t="shared" si="5"/>
        <v>510.5263157894737</v>
      </c>
      <c r="I24" s="63">
        <f t="shared" si="6"/>
        <v>830.07625542467451</v>
      </c>
      <c r="J24" s="63">
        <f t="shared" si="7"/>
        <v>801.80412371134025</v>
      </c>
      <c r="K24" s="59">
        <f t="shared" si="8"/>
        <v>570.40287436254062</v>
      </c>
      <c r="L24" s="59">
        <f t="shared" si="9"/>
        <v>596.64101360863447</v>
      </c>
    </row>
    <row r="25" spans="2:12" ht="16.5" x14ac:dyDescent="0.25">
      <c r="B25" s="56" t="s">
        <v>47</v>
      </c>
      <c r="C25" s="58">
        <f t="shared" si="0"/>
        <v>316.82598607888633</v>
      </c>
      <c r="D25" s="58">
        <f t="shared" si="1"/>
        <v>309.49573312645464</v>
      </c>
      <c r="E25" s="63">
        <f t="shared" si="2"/>
        <v>319.32824427480915</v>
      </c>
      <c r="F25" s="63">
        <f t="shared" si="3"/>
        <v>347.2005965697241</v>
      </c>
      <c r="G25" s="65">
        <f t="shared" si="4"/>
        <v>535.52845528455282</v>
      </c>
      <c r="H25" s="65">
        <f t="shared" si="5"/>
        <v>462.53684210526313</v>
      </c>
      <c r="I25" s="63">
        <f t="shared" si="6"/>
        <v>886.28456292622445</v>
      </c>
      <c r="J25" s="63">
        <f t="shared" si="7"/>
        <v>879.98002577319585</v>
      </c>
      <c r="K25" s="59">
        <f t="shared" si="8"/>
        <v>661.2183588317107</v>
      </c>
      <c r="L25" s="59">
        <f t="shared" si="9"/>
        <v>601.72313467855463</v>
      </c>
    </row>
    <row r="26" spans="2:12" ht="16.5" x14ac:dyDescent="0.25">
      <c r="B26" s="56" t="s">
        <v>48</v>
      </c>
      <c r="C26" s="58">
        <f t="shared" si="0"/>
        <v>182.78422273781902</v>
      </c>
      <c r="D26" s="58">
        <f t="shared" si="1"/>
        <v>207.00698215671062</v>
      </c>
      <c r="E26" s="63">
        <f t="shared" si="2"/>
        <v>175.37709923664121</v>
      </c>
      <c r="F26" s="63">
        <f t="shared" si="3"/>
        <v>200.62788963460105</v>
      </c>
      <c r="G26" s="65">
        <f t="shared" si="4"/>
        <v>265.21409214092142</v>
      </c>
      <c r="H26" s="65">
        <f t="shared" si="5"/>
        <v>291</v>
      </c>
      <c r="I26" s="63">
        <f t="shared" si="6"/>
        <v>660.44761314321136</v>
      </c>
      <c r="J26" s="63">
        <f t="shared" si="7"/>
        <v>642.4455541237113</v>
      </c>
      <c r="K26" s="59">
        <f t="shared" si="8"/>
        <v>451.01622624014834</v>
      </c>
      <c r="L26" s="59">
        <f t="shared" si="9"/>
        <v>475.68653214453309</v>
      </c>
    </row>
    <row r="27" spans="2:12" ht="16.5" x14ac:dyDescent="0.25">
      <c r="B27" s="56" t="s">
        <v>49</v>
      </c>
      <c r="C27" s="58">
        <f t="shared" si="0"/>
        <v>87.330239752513535</v>
      </c>
      <c r="D27" s="58">
        <f t="shared" si="1"/>
        <v>82.19394879751745</v>
      </c>
      <c r="E27" s="63">
        <f t="shared" si="2"/>
        <v>90.22290076335878</v>
      </c>
      <c r="F27" s="63">
        <f t="shared" si="3"/>
        <v>104.99179716629381</v>
      </c>
      <c r="G27" s="65">
        <f t="shared" si="4"/>
        <v>168.3089430894309</v>
      </c>
      <c r="H27" s="65">
        <f t="shared" si="5"/>
        <v>146.01052631578946</v>
      </c>
      <c r="I27" s="63">
        <f t="shared" si="6"/>
        <v>299.10849349039057</v>
      </c>
      <c r="J27" s="63">
        <f t="shared" si="7"/>
        <v>277.62467783505156</v>
      </c>
      <c r="K27" s="59">
        <f t="shared" si="8"/>
        <v>198.97774687065368</v>
      </c>
      <c r="L27" s="59">
        <f t="shared" si="9"/>
        <v>200.23557015485687</v>
      </c>
    </row>
    <row r="28" spans="2:12" ht="16.5" x14ac:dyDescent="0.25">
      <c r="B28" s="56" t="s">
        <v>50</v>
      </c>
      <c r="C28" s="58">
        <f t="shared" si="0"/>
        <v>24.37122969837587</v>
      </c>
      <c r="D28" s="58">
        <f t="shared" si="1"/>
        <v>20.294802172226532</v>
      </c>
      <c r="E28" s="63">
        <f t="shared" si="2"/>
        <v>21.288549618320612</v>
      </c>
      <c r="F28" s="63">
        <f t="shared" si="3"/>
        <v>12.47427293064877</v>
      </c>
      <c r="G28" s="65">
        <f t="shared" si="4"/>
        <v>19.381029810298102</v>
      </c>
      <c r="H28" s="65">
        <f t="shared" si="5"/>
        <v>28.589473684210525</v>
      </c>
      <c r="I28" s="63">
        <f t="shared" si="6"/>
        <v>70.260384376937381</v>
      </c>
      <c r="J28" s="63">
        <f t="shared" si="7"/>
        <v>67.151095360824741</v>
      </c>
      <c r="K28" s="59">
        <f t="shared" si="8"/>
        <v>49.999536393138619</v>
      </c>
      <c r="L28" s="59">
        <f t="shared" si="9"/>
        <v>49.804786485218209</v>
      </c>
    </row>
    <row r="29" spans="2:12" ht="16.5" x14ac:dyDescent="0.25">
      <c r="B29" s="56" t="s">
        <v>51</v>
      </c>
      <c r="C29" s="58">
        <f t="shared" si="0"/>
        <v>0</v>
      </c>
      <c r="D29" s="58">
        <f t="shared" si="1"/>
        <v>3.0442203258339799</v>
      </c>
      <c r="E29" s="63">
        <f t="shared" si="2"/>
        <v>1.0137404580152671</v>
      </c>
      <c r="F29" s="63">
        <f t="shared" si="3"/>
        <v>2.0790454884414618</v>
      </c>
      <c r="G29" s="65">
        <f t="shared" si="4"/>
        <v>1.0200542005420055</v>
      </c>
      <c r="H29" s="65">
        <f t="shared" si="5"/>
        <v>2.0421052631578949</v>
      </c>
      <c r="I29" s="63">
        <f t="shared" si="6"/>
        <v>2.0074395536267824</v>
      </c>
      <c r="J29" s="63">
        <f t="shared" si="7"/>
        <v>3.0067654639175259</v>
      </c>
      <c r="K29" s="59">
        <f t="shared" si="8"/>
        <v>6.1223922114047289</v>
      </c>
      <c r="L29" s="59">
        <f t="shared" si="9"/>
        <v>1.0164242139840451</v>
      </c>
    </row>
    <row r="30" spans="2:12" ht="16.5" x14ac:dyDescent="0.25">
      <c r="B30" s="56" t="s">
        <v>52</v>
      </c>
      <c r="C30" s="58">
        <f t="shared" si="0"/>
        <v>0</v>
      </c>
      <c r="D30" s="58">
        <f t="shared" si="1"/>
        <v>0</v>
      </c>
      <c r="E30" s="63">
        <f t="shared" si="2"/>
        <v>0</v>
      </c>
      <c r="F30" s="63">
        <f t="shared" si="3"/>
        <v>0</v>
      </c>
      <c r="G30" s="65">
        <f t="shared" si="4"/>
        <v>0</v>
      </c>
      <c r="H30" s="65">
        <f t="shared" si="5"/>
        <v>0</v>
      </c>
      <c r="I30" s="63">
        <f t="shared" si="6"/>
        <v>1.0037197768133912</v>
      </c>
      <c r="J30" s="63">
        <f t="shared" si="7"/>
        <v>2.0045103092783507</v>
      </c>
      <c r="K30" s="59">
        <v>0</v>
      </c>
      <c r="L30" s="59">
        <v>0</v>
      </c>
    </row>
    <row r="34" spans="2:6" ht="18" x14ac:dyDescent="0.25">
      <c r="B34" s="38" t="s">
        <v>56</v>
      </c>
    </row>
    <row r="35" spans="2:6" ht="19.5" x14ac:dyDescent="0.25">
      <c r="B35" s="36"/>
      <c r="C35" s="173">
        <v>2010</v>
      </c>
      <c r="D35" s="173"/>
      <c r="E35" s="173">
        <v>2020</v>
      </c>
      <c r="F35" s="173"/>
    </row>
    <row r="36" spans="2:6" ht="16.5" x14ac:dyDescent="0.25">
      <c r="B36" s="53" t="s">
        <v>43</v>
      </c>
      <c r="C36" s="54" t="s">
        <v>5</v>
      </c>
      <c r="D36" s="54" t="s">
        <v>6</v>
      </c>
      <c r="E36" s="66" t="s">
        <v>5</v>
      </c>
      <c r="F36" s="66" t="s">
        <v>6</v>
      </c>
    </row>
    <row r="37" spans="2:6" ht="16.5" x14ac:dyDescent="0.25">
      <c r="B37" s="53" t="s">
        <v>44</v>
      </c>
      <c r="C37" s="55">
        <f>(C22+E22+G22)/3</f>
        <v>3.0492625626562671</v>
      </c>
      <c r="D37" s="55">
        <f>(D22+F22+H22)/3</f>
        <v>7.1674752517558771</v>
      </c>
      <c r="E37" s="67">
        <f>(I22+K22)/2</f>
        <v>3.5463770690216627</v>
      </c>
      <c r="F37" s="67">
        <f>(J22+L22)/2</f>
        <v>4.5243172552211588</v>
      </c>
    </row>
    <row r="38" spans="2:6" ht="16.5" x14ac:dyDescent="0.25">
      <c r="B38" s="53" t="s">
        <v>45</v>
      </c>
      <c r="C38" s="55">
        <f>(C23+E23+G23)/3</f>
        <v>302.97527430298715</v>
      </c>
      <c r="D38" s="55">
        <f t="shared" ref="D38:D44" si="10">(D23+F23+H23)/3</f>
        <v>290.46194496787808</v>
      </c>
      <c r="E38" s="67">
        <f t="shared" ref="E38:F45" si="11">(I23+K23)/2</f>
        <v>372.49082113024076</v>
      </c>
      <c r="F38" s="67">
        <f t="shared" si="11"/>
        <v>334.41357581322836</v>
      </c>
    </row>
    <row r="39" spans="2:6" ht="16.5" x14ac:dyDescent="0.25">
      <c r="B39" s="53" t="s">
        <v>46</v>
      </c>
      <c r="C39" s="55">
        <f t="shared" ref="C39:C44" si="12">(C24+E24+G24)/3</f>
        <v>465.64386741952825</v>
      </c>
      <c r="D39" s="55">
        <f t="shared" si="10"/>
        <v>445.17450120140825</v>
      </c>
      <c r="E39" s="67">
        <f t="shared" si="11"/>
        <v>700.23956489360762</v>
      </c>
      <c r="F39" s="67">
        <f t="shared" si="11"/>
        <v>699.22256865998736</v>
      </c>
    </row>
    <row r="40" spans="2:6" ht="16.5" x14ac:dyDescent="0.25">
      <c r="B40" s="53" t="s">
        <v>47</v>
      </c>
      <c r="C40" s="55">
        <f t="shared" si="12"/>
        <v>390.56089521274947</v>
      </c>
      <c r="D40" s="55">
        <f t="shared" si="10"/>
        <v>373.07772393381396</v>
      </c>
      <c r="E40" s="67">
        <f t="shared" si="11"/>
        <v>773.75146087896758</v>
      </c>
      <c r="F40" s="67">
        <f t="shared" si="11"/>
        <v>740.8515802258753</v>
      </c>
    </row>
    <row r="41" spans="2:6" ht="16.5" x14ac:dyDescent="0.25">
      <c r="B41" s="53" t="s">
        <v>48</v>
      </c>
      <c r="C41" s="55">
        <f t="shared" si="12"/>
        <v>207.79180470512722</v>
      </c>
      <c r="D41" s="55">
        <f t="shared" si="10"/>
        <v>232.87829059710387</v>
      </c>
      <c r="E41" s="67">
        <f t="shared" si="11"/>
        <v>555.73191969167988</v>
      </c>
      <c r="F41" s="67">
        <f t="shared" si="11"/>
        <v>559.0660431341222</v>
      </c>
    </row>
    <row r="42" spans="2:6" ht="16.5" x14ac:dyDescent="0.25">
      <c r="B42" s="53" t="s">
        <v>49</v>
      </c>
      <c r="C42" s="55">
        <f t="shared" si="12"/>
        <v>115.28736120176774</v>
      </c>
      <c r="D42" s="55">
        <f t="shared" si="10"/>
        <v>111.06542409320025</v>
      </c>
      <c r="E42" s="67">
        <f t="shared" si="11"/>
        <v>249.04312018052212</v>
      </c>
      <c r="F42" s="67">
        <f t="shared" si="11"/>
        <v>238.93012399495422</v>
      </c>
    </row>
    <row r="43" spans="2:6" ht="16.5" x14ac:dyDescent="0.25">
      <c r="B43" s="53" t="s">
        <v>50</v>
      </c>
      <c r="C43" s="55">
        <f t="shared" si="12"/>
        <v>21.680269708998196</v>
      </c>
      <c r="D43" s="55">
        <f t="shared" si="10"/>
        <v>20.452849595695277</v>
      </c>
      <c r="E43" s="67">
        <f t="shared" si="11"/>
        <v>60.129960385038004</v>
      </c>
      <c r="F43" s="67">
        <f t="shared" si="11"/>
        <v>58.477940923021478</v>
      </c>
    </row>
    <row r="44" spans="2:6" ht="16.5" x14ac:dyDescent="0.25">
      <c r="B44" s="53" t="s">
        <v>51</v>
      </c>
      <c r="C44" s="55">
        <f t="shared" si="12"/>
        <v>0.67793155285242424</v>
      </c>
      <c r="D44" s="55">
        <f t="shared" si="10"/>
        <v>2.3884570258111122</v>
      </c>
      <c r="E44" s="67">
        <f t="shared" si="11"/>
        <v>4.0649158825157556</v>
      </c>
      <c r="F44" s="67">
        <f t="shared" si="11"/>
        <v>2.0115948389507854</v>
      </c>
    </row>
    <row r="45" spans="2:6" ht="16.5" x14ac:dyDescent="0.25">
      <c r="B45" s="53" t="s">
        <v>52</v>
      </c>
      <c r="C45" s="55">
        <f>(C30+E30+G30)/3</f>
        <v>0</v>
      </c>
      <c r="D45" s="55">
        <f>(D30+F30+H30)/3</f>
        <v>0</v>
      </c>
      <c r="E45" s="67">
        <f t="shared" si="11"/>
        <v>0.5018598884066956</v>
      </c>
      <c r="F45" s="67">
        <f t="shared" si="11"/>
        <v>1.0022551546391754</v>
      </c>
    </row>
    <row r="49" spans="2:6" ht="18" x14ac:dyDescent="0.25">
      <c r="B49" s="39" t="s">
        <v>57</v>
      </c>
    </row>
    <row r="50" spans="2:6" ht="19.5" x14ac:dyDescent="0.25">
      <c r="B50" s="36"/>
      <c r="C50" s="173">
        <v>2010</v>
      </c>
      <c r="D50" s="173"/>
      <c r="E50" s="173">
        <v>2020</v>
      </c>
      <c r="F50" s="173"/>
    </row>
    <row r="51" spans="2:6" ht="18.75" x14ac:dyDescent="0.25">
      <c r="B51" s="60" t="s">
        <v>43</v>
      </c>
      <c r="C51" s="62" t="s">
        <v>5</v>
      </c>
      <c r="D51" s="62" t="s">
        <v>6</v>
      </c>
      <c r="E51" s="68" t="s">
        <v>5</v>
      </c>
      <c r="F51" s="68" t="s">
        <v>6</v>
      </c>
    </row>
    <row r="52" spans="2:6" ht="18.75" x14ac:dyDescent="0.25">
      <c r="B52" s="60" t="s">
        <v>45</v>
      </c>
      <c r="C52" s="55">
        <f>C37+C38</f>
        <v>306.02453686564343</v>
      </c>
      <c r="D52" s="55">
        <f>D37+D38</f>
        <v>297.62942021963397</v>
      </c>
      <c r="E52" s="67">
        <f>E37+E38</f>
        <v>376.03719819926243</v>
      </c>
      <c r="F52" s="67">
        <f>F37+F38</f>
        <v>338.93789306844951</v>
      </c>
    </row>
    <row r="53" spans="2:6" ht="18.75" x14ac:dyDescent="0.25">
      <c r="B53" s="60" t="s">
        <v>46</v>
      </c>
      <c r="C53" s="55">
        <f t="shared" ref="C53:F57" si="13">C39</f>
        <v>465.64386741952825</v>
      </c>
      <c r="D53" s="55">
        <f t="shared" si="13"/>
        <v>445.17450120140825</v>
      </c>
      <c r="E53" s="67">
        <f t="shared" si="13"/>
        <v>700.23956489360762</v>
      </c>
      <c r="F53" s="67">
        <f t="shared" si="13"/>
        <v>699.22256865998736</v>
      </c>
    </row>
    <row r="54" spans="2:6" ht="18.75" x14ac:dyDescent="0.25">
      <c r="B54" s="60" t="s">
        <v>47</v>
      </c>
      <c r="C54" s="55">
        <f t="shared" si="13"/>
        <v>390.56089521274947</v>
      </c>
      <c r="D54" s="55">
        <f t="shared" si="13"/>
        <v>373.07772393381396</v>
      </c>
      <c r="E54" s="67">
        <f t="shared" si="13"/>
        <v>773.75146087896758</v>
      </c>
      <c r="F54" s="67">
        <f t="shared" si="13"/>
        <v>740.8515802258753</v>
      </c>
    </row>
    <row r="55" spans="2:6" ht="18.75" x14ac:dyDescent="0.25">
      <c r="B55" s="60" t="s">
        <v>48</v>
      </c>
      <c r="C55" s="55">
        <f t="shared" si="13"/>
        <v>207.79180470512722</v>
      </c>
      <c r="D55" s="55">
        <f t="shared" si="13"/>
        <v>232.87829059710387</v>
      </c>
      <c r="E55" s="67">
        <f t="shared" si="13"/>
        <v>555.73191969167988</v>
      </c>
      <c r="F55" s="67">
        <f t="shared" si="13"/>
        <v>559.0660431341222</v>
      </c>
    </row>
    <row r="56" spans="2:6" ht="18.75" x14ac:dyDescent="0.25">
      <c r="B56" s="60" t="s">
        <v>49</v>
      </c>
      <c r="C56" s="55">
        <f t="shared" si="13"/>
        <v>115.28736120176774</v>
      </c>
      <c r="D56" s="55">
        <f t="shared" si="13"/>
        <v>111.06542409320025</v>
      </c>
      <c r="E56" s="67">
        <f t="shared" si="13"/>
        <v>249.04312018052212</v>
      </c>
      <c r="F56" s="67">
        <f t="shared" si="13"/>
        <v>238.93012399495422</v>
      </c>
    </row>
    <row r="57" spans="2:6" ht="18.75" x14ac:dyDescent="0.25">
      <c r="B57" s="60" t="s">
        <v>50</v>
      </c>
      <c r="C57" s="55">
        <f t="shared" si="13"/>
        <v>21.680269708998196</v>
      </c>
      <c r="D57" s="55">
        <f t="shared" si="13"/>
        <v>20.452849595695277</v>
      </c>
      <c r="E57" s="67">
        <f t="shared" si="13"/>
        <v>60.129960385038004</v>
      </c>
      <c r="F57" s="67">
        <f t="shared" si="13"/>
        <v>58.477940923021478</v>
      </c>
    </row>
    <row r="58" spans="2:6" ht="18.75" x14ac:dyDescent="0.25">
      <c r="B58" s="60" t="s">
        <v>51</v>
      </c>
      <c r="C58" s="55">
        <f>C44+C45</f>
        <v>0.67793155285242424</v>
      </c>
      <c r="D58" s="55">
        <f>D44+D45</f>
        <v>2.3884570258111122</v>
      </c>
      <c r="E58" s="67">
        <f>E44+E45</f>
        <v>4.566775770922451</v>
      </c>
      <c r="F58" s="67">
        <f>F44+F45</f>
        <v>3.013849993589961</v>
      </c>
    </row>
    <row r="59" spans="2:6" ht="18.75" x14ac:dyDescent="0.25">
      <c r="B59" s="60" t="s">
        <v>58</v>
      </c>
      <c r="C59" s="61">
        <f>SUM(C52:C58)</f>
        <v>1507.6666666666665</v>
      </c>
      <c r="D59" s="61">
        <f>SUM(D52:D58)</f>
        <v>1482.6666666666665</v>
      </c>
      <c r="E59" s="61">
        <f>SUM(E52:E58)</f>
        <v>2719.5000000000005</v>
      </c>
      <c r="F59" s="61">
        <f>SUM(F52:F58)</f>
        <v>2638.5</v>
      </c>
    </row>
  </sheetData>
  <mergeCells count="15">
    <mergeCell ref="A1:B1"/>
    <mergeCell ref="G4:H4"/>
    <mergeCell ref="I4:J4"/>
    <mergeCell ref="K4:L4"/>
    <mergeCell ref="C20:D20"/>
    <mergeCell ref="E20:F20"/>
    <mergeCell ref="G20:H20"/>
    <mergeCell ref="I20:J20"/>
    <mergeCell ref="K20:L20"/>
    <mergeCell ref="C35:D35"/>
    <mergeCell ref="E35:F35"/>
    <mergeCell ref="C50:D50"/>
    <mergeCell ref="E50:F50"/>
    <mergeCell ref="C4:D4"/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opLeftCell="D1" workbookViewId="0">
      <selection activeCell="O24" sqref="O24"/>
    </sheetView>
  </sheetViews>
  <sheetFormatPr baseColWidth="10" defaultRowHeight="15" x14ac:dyDescent="0.25"/>
  <sheetData>
    <row r="1" spans="1:19" ht="18.75" x14ac:dyDescent="0.3">
      <c r="A1" s="175" t="s">
        <v>150</v>
      </c>
      <c r="B1" s="175"/>
      <c r="C1" s="175"/>
    </row>
    <row r="3" spans="1:19" x14ac:dyDescent="0.25">
      <c r="A3" s="179" t="s">
        <v>11</v>
      </c>
      <c r="B3" s="179"/>
      <c r="D3" s="178" t="s">
        <v>12</v>
      </c>
      <c r="E3" s="178"/>
      <c r="G3" s="179" t="s">
        <v>13</v>
      </c>
      <c r="H3" s="179"/>
      <c r="J3" s="179" t="s">
        <v>18</v>
      </c>
      <c r="K3" s="179"/>
      <c r="M3" s="178" t="s">
        <v>19</v>
      </c>
      <c r="N3" s="178"/>
      <c r="O3" s="178"/>
      <c r="Q3" s="178" t="s">
        <v>20</v>
      </c>
      <c r="R3" s="178"/>
      <c r="S3" s="178"/>
    </row>
    <row r="4" spans="1:19" x14ac:dyDescent="0.25">
      <c r="A4" s="69" t="s">
        <v>2</v>
      </c>
      <c r="B4" s="69" t="s">
        <v>14</v>
      </c>
      <c r="C4" s="144"/>
      <c r="D4" s="70" t="s">
        <v>9</v>
      </c>
      <c r="E4" s="71" t="s">
        <v>10</v>
      </c>
      <c r="F4" s="144"/>
      <c r="G4" s="70" t="s">
        <v>9</v>
      </c>
      <c r="H4" s="71" t="s">
        <v>10</v>
      </c>
      <c r="I4" s="144"/>
      <c r="J4" s="70" t="s">
        <v>9</v>
      </c>
      <c r="K4" s="71" t="s">
        <v>10</v>
      </c>
      <c r="L4" s="144"/>
      <c r="M4" s="70" t="s">
        <v>9</v>
      </c>
      <c r="N4" s="71" t="s">
        <v>10</v>
      </c>
      <c r="O4" s="145" t="s">
        <v>4</v>
      </c>
      <c r="P4" s="144"/>
      <c r="Q4" s="70" t="s">
        <v>9</v>
      </c>
      <c r="R4" s="71" t="s">
        <v>10</v>
      </c>
      <c r="S4" s="146" t="s">
        <v>4</v>
      </c>
    </row>
    <row r="5" spans="1:19" x14ac:dyDescent="0.25">
      <c r="A5" s="6">
        <v>0</v>
      </c>
      <c r="B5" s="6">
        <v>0</v>
      </c>
      <c r="D5" s="6">
        <v>5800</v>
      </c>
      <c r="E5" s="6">
        <v>5528</v>
      </c>
      <c r="G5" s="6">
        <v>5414</v>
      </c>
      <c r="H5" s="6">
        <v>5201</v>
      </c>
      <c r="J5" s="6">
        <v>-7.0293241496002246E-3</v>
      </c>
      <c r="K5" s="6">
        <v>-6.2260648483297709E-3</v>
      </c>
      <c r="M5" s="6">
        <v>3907.1772915946071</v>
      </c>
      <c r="N5" s="6">
        <v>3864.5627041459138</v>
      </c>
      <c r="O5" s="6">
        <v>7771.7399957405214</v>
      </c>
      <c r="Q5" s="113">
        <v>3116.2172346680632</v>
      </c>
      <c r="R5" s="113">
        <v>3052.8768821105159</v>
      </c>
      <c r="S5" s="113">
        <v>6169.0941167785786</v>
      </c>
    </row>
    <row r="6" spans="1:19" x14ac:dyDescent="0.25">
      <c r="A6" s="6">
        <v>1</v>
      </c>
      <c r="B6" s="6">
        <v>4</v>
      </c>
      <c r="D6" s="6">
        <v>51967</v>
      </c>
      <c r="E6" s="6">
        <v>24602</v>
      </c>
      <c r="G6" s="6">
        <v>24052</v>
      </c>
      <c r="H6" s="6">
        <v>23511</v>
      </c>
      <c r="J6" s="6">
        <v>-7.5876088275603659E-2</v>
      </c>
      <c r="K6" s="6">
        <v>-4.6352629892491004E-3</v>
      </c>
      <c r="M6" s="6">
        <v>18182.400551759696</v>
      </c>
      <c r="N6" s="6">
        <v>17457.318792316153</v>
      </c>
      <c r="O6" s="6">
        <v>35639.719344075849</v>
      </c>
      <c r="Q6" s="113">
        <v>14906.23749653565</v>
      </c>
      <c r="R6" s="113">
        <v>14443.194734707715</v>
      </c>
      <c r="S6" s="113">
        <v>29349.432231243365</v>
      </c>
    </row>
    <row r="7" spans="1:19" x14ac:dyDescent="0.25">
      <c r="A7" s="6">
        <v>5</v>
      </c>
      <c r="B7" s="6">
        <v>9</v>
      </c>
      <c r="D7" s="6">
        <v>29053</v>
      </c>
      <c r="E7" s="6">
        <v>28035</v>
      </c>
      <c r="G7" s="6">
        <v>31348</v>
      </c>
      <c r="H7" s="6">
        <v>30369</v>
      </c>
      <c r="J7" s="6">
        <v>7.8178242110231722E-3</v>
      </c>
      <c r="K7" s="6">
        <v>8.2246149403535362E-3</v>
      </c>
      <c r="M7" s="6">
        <v>23465.682304423815</v>
      </c>
      <c r="N7" s="6">
        <v>22393.196309981347</v>
      </c>
      <c r="O7" s="6">
        <v>45858.878614405163</v>
      </c>
      <c r="Q7" s="113">
        <v>19276.588615423214</v>
      </c>
      <c r="R7" s="113">
        <v>18801.982736958074</v>
      </c>
      <c r="S7" s="113">
        <v>38078.571352381288</v>
      </c>
    </row>
    <row r="8" spans="1:19" x14ac:dyDescent="0.25">
      <c r="A8" s="6">
        <v>10</v>
      </c>
      <c r="B8" s="6">
        <v>14</v>
      </c>
      <c r="D8" s="6">
        <v>25563</v>
      </c>
      <c r="E8" s="6">
        <v>24867</v>
      </c>
      <c r="G8" s="6">
        <v>32113</v>
      </c>
      <c r="H8" s="6">
        <v>31042</v>
      </c>
      <c r="J8" s="6">
        <v>2.3640322702910277E-2</v>
      </c>
      <c r="K8" s="6">
        <v>2.297837089430077E-2</v>
      </c>
      <c r="M8" s="6">
        <v>22922.623482507068</v>
      </c>
      <c r="N8" s="6">
        <v>22310.888876533452</v>
      </c>
      <c r="O8" s="6">
        <v>45233.51235904052</v>
      </c>
      <c r="Q8" s="113">
        <v>20716.810666497746</v>
      </c>
      <c r="R8" s="113">
        <v>19781.403266335408</v>
      </c>
      <c r="S8" s="113">
        <v>40498.213932833154</v>
      </c>
    </row>
    <row r="9" spans="1:19" x14ac:dyDescent="0.25">
      <c r="A9" s="6">
        <v>15</v>
      </c>
      <c r="B9" s="6">
        <v>19</v>
      </c>
      <c r="D9" s="6">
        <v>24223</v>
      </c>
      <c r="E9" s="6">
        <v>24094</v>
      </c>
      <c r="G9" s="6">
        <v>29781</v>
      </c>
      <c r="H9" s="6">
        <v>28727</v>
      </c>
      <c r="J9" s="6">
        <v>2.1383644218691877E-2</v>
      </c>
      <c r="K9" s="6">
        <v>1.8177613665154801E-2</v>
      </c>
      <c r="M9" s="6">
        <v>23496.644453558081</v>
      </c>
      <c r="N9" s="6">
        <v>23208.308230709263</v>
      </c>
      <c r="O9" s="6">
        <v>46704.952684267344</v>
      </c>
      <c r="Q9" s="113">
        <v>21518.665569446599</v>
      </c>
      <c r="R9" s="113">
        <v>20597.41098638796</v>
      </c>
      <c r="S9" s="113">
        <v>42116.076555834559</v>
      </c>
    </row>
    <row r="10" spans="1:19" x14ac:dyDescent="0.25">
      <c r="A10" s="6">
        <v>20</v>
      </c>
      <c r="B10" s="6">
        <v>24</v>
      </c>
      <c r="D10" s="6">
        <v>27557</v>
      </c>
      <c r="E10" s="6">
        <v>27601</v>
      </c>
      <c r="G10" s="6">
        <v>30355</v>
      </c>
      <c r="H10" s="6">
        <v>30026</v>
      </c>
      <c r="J10" s="6">
        <v>9.9544249169600807E-3</v>
      </c>
      <c r="K10" s="6">
        <v>8.6628888825970307E-3</v>
      </c>
      <c r="M10" s="6">
        <v>22924.811474886879</v>
      </c>
      <c r="N10" s="6">
        <v>23019.882440906371</v>
      </c>
      <c r="O10" s="6">
        <v>45944.69391579325</v>
      </c>
      <c r="Q10" s="113">
        <v>21580.457897704706</v>
      </c>
      <c r="R10" s="113">
        <v>21159.801111145924</v>
      </c>
      <c r="S10" s="113">
        <v>42740.259008850626</v>
      </c>
    </row>
    <row r="11" spans="1:19" x14ac:dyDescent="0.25">
      <c r="A11" s="6">
        <v>25</v>
      </c>
      <c r="B11" s="6">
        <v>29</v>
      </c>
      <c r="D11" s="6">
        <v>27704</v>
      </c>
      <c r="E11" s="6">
        <v>27688</v>
      </c>
      <c r="G11" s="6">
        <v>30217</v>
      </c>
      <c r="H11" s="6">
        <v>30588</v>
      </c>
      <c r="J11" s="6">
        <v>8.9332174243363927E-3</v>
      </c>
      <c r="K11" s="6">
        <v>1.0254880404173772E-2</v>
      </c>
      <c r="M11" s="6">
        <v>20143.50376765725</v>
      </c>
      <c r="N11" s="6">
        <v>21174.039426968884</v>
      </c>
      <c r="O11" s="6">
        <v>41317.543194626138</v>
      </c>
      <c r="Q11" s="113">
        <v>20906.686456654719</v>
      </c>
      <c r="R11" s="113">
        <v>21283.920679737646</v>
      </c>
      <c r="S11" s="113">
        <v>42190.607136392369</v>
      </c>
    </row>
    <row r="12" spans="1:19" x14ac:dyDescent="0.25">
      <c r="A12" s="6">
        <v>30</v>
      </c>
      <c r="B12" s="6">
        <v>34</v>
      </c>
      <c r="D12" s="6">
        <v>25820</v>
      </c>
      <c r="E12" s="6">
        <v>52599</v>
      </c>
      <c r="G12" s="6">
        <v>30522</v>
      </c>
      <c r="H12" s="6">
        <v>31113</v>
      </c>
      <c r="J12" s="6">
        <v>1.7283595445631628E-2</v>
      </c>
      <c r="K12" s="6">
        <v>-5.2361036402494343E-2</v>
      </c>
      <c r="M12" s="6">
        <v>18231.488428576609</v>
      </c>
      <c r="N12" s="6">
        <v>20298.270443908823</v>
      </c>
      <c r="O12" s="6">
        <v>38529.758872485429</v>
      </c>
      <c r="Q12" s="113">
        <v>19565.13108791555</v>
      </c>
      <c r="R12" s="113">
        <v>20667.9553050508</v>
      </c>
      <c r="S12" s="113">
        <v>40233.086392966346</v>
      </c>
    </row>
    <row r="13" spans="1:19" x14ac:dyDescent="0.25">
      <c r="A13" s="6">
        <v>35</v>
      </c>
      <c r="B13" s="6">
        <v>39</v>
      </c>
      <c r="D13" s="6">
        <v>23177</v>
      </c>
      <c r="E13" s="6">
        <v>23125</v>
      </c>
      <c r="G13" s="6">
        <v>29594</v>
      </c>
      <c r="H13" s="6">
        <v>29956</v>
      </c>
      <c r="J13" s="6">
        <v>2.5350396206114567E-2</v>
      </c>
      <c r="K13" s="6">
        <v>2.6864290965666671E-2</v>
      </c>
      <c r="M13" s="6">
        <v>17984.079446544551</v>
      </c>
      <c r="N13" s="6">
        <v>20433.987261411952</v>
      </c>
      <c r="O13" s="6">
        <v>38418.066707956503</v>
      </c>
      <c r="Q13" s="113">
        <v>17913.406667613883</v>
      </c>
      <c r="R13" s="113">
        <v>19640.128535523938</v>
      </c>
      <c r="S13" s="113">
        <v>37553.535203137821</v>
      </c>
    </row>
    <row r="14" spans="1:19" x14ac:dyDescent="0.25">
      <c r="A14" s="6">
        <v>40</v>
      </c>
      <c r="B14" s="6">
        <v>44</v>
      </c>
      <c r="D14" s="6">
        <v>17755</v>
      </c>
      <c r="E14" s="6">
        <v>17704</v>
      </c>
      <c r="G14" s="6">
        <v>26177</v>
      </c>
      <c r="H14" s="6">
        <v>26785</v>
      </c>
      <c r="J14" s="6">
        <v>4.0564907456189792E-2</v>
      </c>
      <c r="K14" s="6">
        <v>4.3322368553653678E-2</v>
      </c>
      <c r="M14" s="6">
        <v>16905.538939613187</v>
      </c>
      <c r="N14" s="6">
        <v>18998.33357305931</v>
      </c>
      <c r="O14" s="6">
        <v>35903.872512672497</v>
      </c>
      <c r="Q14" s="113">
        <v>16815.542634135632</v>
      </c>
      <c r="R14" s="113">
        <v>19054.106919506925</v>
      </c>
      <c r="S14" s="113">
        <v>35869.649553642557</v>
      </c>
    </row>
    <row r="15" spans="1:19" x14ac:dyDescent="0.25">
      <c r="A15" s="6">
        <v>45</v>
      </c>
      <c r="B15" s="6">
        <v>49</v>
      </c>
      <c r="D15" s="6">
        <v>13355</v>
      </c>
      <c r="E15" s="6">
        <v>13443</v>
      </c>
      <c r="G15" s="6">
        <v>22942</v>
      </c>
      <c r="H15" s="6">
        <v>22890</v>
      </c>
      <c r="J15" s="6">
        <v>5.6985778584899949E-2</v>
      </c>
      <c r="K15" s="6">
        <v>5.6029497647954063E-2</v>
      </c>
      <c r="M15" s="6">
        <v>14722.888857179783</v>
      </c>
      <c r="N15" s="6">
        <v>16342.192489611656</v>
      </c>
      <c r="O15" s="6">
        <v>31065.081346791441</v>
      </c>
      <c r="Q15" s="113">
        <v>16701.315871530609</v>
      </c>
      <c r="R15" s="113">
        <v>19240.774927434202</v>
      </c>
      <c r="S15" s="113">
        <v>35942.090798964811</v>
      </c>
    </row>
    <row r="16" spans="1:19" x14ac:dyDescent="0.25">
      <c r="A16" s="6">
        <v>50</v>
      </c>
      <c r="B16" s="6">
        <v>54</v>
      </c>
      <c r="D16" s="6">
        <v>9828</v>
      </c>
      <c r="E16" s="6">
        <v>10571</v>
      </c>
      <c r="G16" s="6">
        <v>18324</v>
      </c>
      <c r="H16" s="6">
        <v>18815</v>
      </c>
      <c r="J16" s="6">
        <v>6.588967673171342E-2</v>
      </c>
      <c r="K16" s="6">
        <v>6.0831981977585992E-2</v>
      </c>
      <c r="M16" s="6">
        <v>12183.100134115011</v>
      </c>
      <c r="N16" s="6">
        <v>13344.823168845223</v>
      </c>
      <c r="O16" s="6">
        <v>25527.923302960233</v>
      </c>
      <c r="Q16" s="113">
        <v>15884.21618186156</v>
      </c>
      <c r="R16" s="113">
        <v>18298.536876338076</v>
      </c>
      <c r="S16" s="113">
        <v>34182.75305819964</v>
      </c>
    </row>
    <row r="17" spans="1:19" x14ac:dyDescent="0.25">
      <c r="A17" s="6">
        <v>55</v>
      </c>
      <c r="B17" s="6">
        <v>59</v>
      </c>
      <c r="D17" s="6">
        <v>6920</v>
      </c>
      <c r="E17" s="6">
        <v>7131</v>
      </c>
      <c r="G17" s="6">
        <v>13158</v>
      </c>
      <c r="H17" s="6">
        <v>13649</v>
      </c>
      <c r="J17" s="6">
        <v>6.8035832859858703E-2</v>
      </c>
      <c r="K17" s="6">
        <v>6.8758158447765672E-2</v>
      </c>
      <c r="M17" s="6">
        <v>9149.0764812757734</v>
      </c>
      <c r="N17" s="6">
        <v>9636.4134881568752</v>
      </c>
      <c r="O17" s="6">
        <v>18785.489969432649</v>
      </c>
      <c r="Q17" s="113">
        <v>13806.694338496181</v>
      </c>
      <c r="R17" s="113">
        <v>15678.932109348585</v>
      </c>
      <c r="S17" s="113">
        <v>29485.626447844767</v>
      </c>
    </row>
    <row r="18" spans="1:19" x14ac:dyDescent="0.25">
      <c r="A18" s="6">
        <v>60</v>
      </c>
      <c r="B18" s="6">
        <v>64</v>
      </c>
      <c r="D18" s="6">
        <v>5212</v>
      </c>
      <c r="E18" s="6">
        <v>6159</v>
      </c>
      <c r="G18" s="6">
        <v>9628</v>
      </c>
      <c r="H18" s="6">
        <v>11032</v>
      </c>
      <c r="J18" s="6">
        <v>6.487870788403205E-2</v>
      </c>
      <c r="K18" s="6">
        <v>6.1521717952324639E-2</v>
      </c>
      <c r="M18" s="6">
        <v>6131.7176321898578</v>
      </c>
      <c r="N18" s="6">
        <v>6266.2199142083618</v>
      </c>
      <c r="O18" s="6">
        <v>12397.93754639822</v>
      </c>
      <c r="Q18" s="113">
        <v>11242.944743821075</v>
      </c>
      <c r="R18" s="113">
        <v>12732.033867304426</v>
      </c>
      <c r="S18" s="113">
        <v>23974.978611125502</v>
      </c>
    </row>
    <row r="19" spans="1:19" x14ac:dyDescent="0.25">
      <c r="A19" s="6">
        <v>65</v>
      </c>
      <c r="B19" s="6">
        <v>69</v>
      </c>
      <c r="D19" s="6">
        <v>3748</v>
      </c>
      <c r="E19" s="6">
        <v>4286</v>
      </c>
      <c r="G19" s="6">
        <v>6533</v>
      </c>
      <c r="H19" s="6">
        <v>7586</v>
      </c>
      <c r="J19" s="6">
        <v>5.8563873210254247E-2</v>
      </c>
      <c r="K19" s="6">
        <v>6.0224813224940554E-2</v>
      </c>
      <c r="M19" s="6">
        <v>3695.9691191161837</v>
      </c>
      <c r="N19" s="6">
        <v>3961.1943644689873</v>
      </c>
      <c r="O19" s="6">
        <v>7657.163483585171</v>
      </c>
      <c r="Q19" s="113">
        <v>8171.8368221910941</v>
      </c>
      <c r="R19" s="113">
        <v>9128.2048435385932</v>
      </c>
      <c r="S19" s="113">
        <v>17300.041665729688</v>
      </c>
    </row>
    <row r="20" spans="1:19" x14ac:dyDescent="0.25">
      <c r="A20" s="6">
        <v>70</v>
      </c>
      <c r="B20" s="6">
        <v>74</v>
      </c>
      <c r="D20" s="6">
        <v>2727</v>
      </c>
      <c r="E20" s="6">
        <v>3253</v>
      </c>
      <c r="G20" s="6">
        <v>4350</v>
      </c>
      <c r="H20" s="6">
        <v>5373</v>
      </c>
      <c r="J20" s="6">
        <v>4.8993256567549048E-2</v>
      </c>
      <c r="K20" s="6">
        <v>5.2742813259605059E-2</v>
      </c>
      <c r="M20" s="6">
        <v>2154.5342188944419</v>
      </c>
      <c r="N20" s="6">
        <v>2557.5248384308625</v>
      </c>
      <c r="O20" s="6">
        <v>4712.0590573253048</v>
      </c>
      <c r="Q20" s="113">
        <v>5074.3489051020197</v>
      </c>
      <c r="R20" s="113">
        <v>5485.4793777911009</v>
      </c>
      <c r="S20" s="113">
        <v>10559.828282893121</v>
      </c>
    </row>
    <row r="21" spans="1:19" x14ac:dyDescent="0.25">
      <c r="A21" s="6">
        <v>75</v>
      </c>
      <c r="B21" s="6">
        <v>79</v>
      </c>
      <c r="D21" s="6">
        <v>1748</v>
      </c>
      <c r="E21" s="6">
        <v>2001</v>
      </c>
      <c r="G21" s="6">
        <v>2897</v>
      </c>
      <c r="H21" s="6">
        <v>3531</v>
      </c>
      <c r="J21" s="6">
        <v>5.3108923931713292E-2</v>
      </c>
      <c r="K21" s="6">
        <v>5.9897285456303795E-2</v>
      </c>
      <c r="M21" s="6">
        <v>1283.5939759622152</v>
      </c>
      <c r="N21" s="6">
        <v>1698.3480137290214</v>
      </c>
      <c r="O21" s="6">
        <v>2981.9419896912368</v>
      </c>
      <c r="Q21" s="113">
        <v>2685.0399611984221</v>
      </c>
      <c r="R21" s="113">
        <v>3019.4268805425254</v>
      </c>
      <c r="S21" s="113">
        <v>5704.4668417409475</v>
      </c>
    </row>
    <row r="22" spans="1:19" x14ac:dyDescent="0.25">
      <c r="A22" s="6">
        <v>80</v>
      </c>
      <c r="B22" s="6">
        <v>84</v>
      </c>
      <c r="D22" s="6">
        <v>964</v>
      </c>
      <c r="E22" s="6">
        <v>1274</v>
      </c>
      <c r="G22" s="6">
        <v>1747</v>
      </c>
      <c r="H22" s="6">
        <v>2363</v>
      </c>
      <c r="J22" s="6">
        <v>6.279224656522886E-2</v>
      </c>
      <c r="K22" s="6">
        <v>6.5321480416540068E-2</v>
      </c>
      <c r="M22" s="6">
        <v>706.9354270883623</v>
      </c>
      <c r="N22" s="6">
        <v>1098.913968546439</v>
      </c>
      <c r="O22" s="6">
        <v>1805.8493956348013</v>
      </c>
      <c r="Q22" s="113">
        <v>1409.0309275339387</v>
      </c>
      <c r="R22" s="113">
        <v>1818.8316984240287</v>
      </c>
      <c r="S22" s="113">
        <v>3227.8626259579673</v>
      </c>
    </row>
    <row r="23" spans="1:19" x14ac:dyDescent="0.25">
      <c r="A23" s="6" t="s">
        <v>15</v>
      </c>
      <c r="B23" s="6"/>
      <c r="D23" s="6">
        <v>732</v>
      </c>
      <c r="E23" s="6">
        <v>1077</v>
      </c>
      <c r="G23" s="6">
        <v>1209</v>
      </c>
      <c r="H23" s="6">
        <v>1849</v>
      </c>
      <c r="J23" s="6">
        <v>5.2738453972539734E-2</v>
      </c>
      <c r="K23" s="6">
        <v>5.6919426449433264E-2</v>
      </c>
      <c r="M23" s="6">
        <v>506.77963239229319</v>
      </c>
      <c r="N23" s="6">
        <v>883.50147951542499</v>
      </c>
      <c r="O23" s="6">
        <v>1390.2811119077182</v>
      </c>
      <c r="Q23" s="113">
        <v>924.70626200867173</v>
      </c>
      <c r="R23" s="113">
        <v>1645.7852622763319</v>
      </c>
      <c r="S23" s="113">
        <v>2570.4915242850038</v>
      </c>
    </row>
    <row r="24" spans="1:19" x14ac:dyDescent="0.25">
      <c r="A24" s="180" t="s">
        <v>16</v>
      </c>
      <c r="B24" s="180"/>
      <c r="D24" s="148">
        <v>303853</v>
      </c>
      <c r="E24" s="148">
        <v>305038</v>
      </c>
      <c r="G24" s="148">
        <v>350361</v>
      </c>
      <c r="H24" s="148">
        <v>354406</v>
      </c>
      <c r="J24" s="148">
        <v>1.469463065351162E-2</v>
      </c>
      <c r="K24" s="148">
        <v>1.5483449234705571E-2</v>
      </c>
      <c r="M24" s="148">
        <v>238698.54561933569</v>
      </c>
      <c r="N24" s="148">
        <v>248947.91978545429</v>
      </c>
      <c r="O24" s="148">
        <v>487646.46540479001</v>
      </c>
      <c r="Q24" s="147">
        <v>252215.87834033938</v>
      </c>
      <c r="R24" s="147">
        <v>265530.78700046276</v>
      </c>
      <c r="S24" s="147">
        <v>517746.66534080217</v>
      </c>
    </row>
    <row r="25" spans="1:19" x14ac:dyDescent="0.25">
      <c r="A25" s="180" t="s">
        <v>17</v>
      </c>
      <c r="B25" s="180"/>
      <c r="D25" s="6"/>
      <c r="E25" s="149">
        <f>D24+E24</f>
        <v>608891</v>
      </c>
      <c r="G25" s="6"/>
      <c r="H25" s="149">
        <f>G24+H24</f>
        <v>704767</v>
      </c>
      <c r="J25" s="6"/>
      <c r="K25" s="149">
        <v>1.509047897088478E-2</v>
      </c>
    </row>
  </sheetData>
  <mergeCells count="9">
    <mergeCell ref="A24:B24"/>
    <mergeCell ref="A25:B25"/>
    <mergeCell ref="J3:K3"/>
    <mergeCell ref="M3:O3"/>
    <mergeCell ref="Q3:S3"/>
    <mergeCell ref="A3:B3"/>
    <mergeCell ref="D3:E3"/>
    <mergeCell ref="G3:H3"/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2"/>
  <sheetViews>
    <sheetView topLeftCell="T75" zoomScale="86" zoomScaleNormal="86" workbookViewId="0">
      <selection activeCell="AE59" sqref="AE59"/>
    </sheetView>
  </sheetViews>
  <sheetFormatPr baseColWidth="10" defaultRowHeight="15" x14ac:dyDescent="0.25"/>
  <cols>
    <col min="1" max="1" width="88.28515625" customWidth="1"/>
    <col min="2" max="2" width="18.28515625" customWidth="1"/>
    <col min="5" max="5" width="90.28515625" bestFit="1" customWidth="1"/>
    <col min="11" max="11" width="41.85546875" customWidth="1"/>
    <col min="13" max="13" width="41.140625" customWidth="1"/>
    <col min="16" max="16" width="42.85546875" customWidth="1"/>
    <col min="18" max="18" width="35.140625" customWidth="1"/>
    <col min="22" max="22" width="42.7109375" customWidth="1"/>
    <col min="27" max="27" width="34" customWidth="1"/>
    <col min="29" max="29" width="39.140625" customWidth="1"/>
  </cols>
  <sheetData>
    <row r="1" spans="1:30" ht="21" x14ac:dyDescent="0.35">
      <c r="A1" s="202" t="s">
        <v>148</v>
      </c>
      <c r="B1" s="202"/>
    </row>
    <row r="2" spans="1:30" ht="15.75" thickBot="1" x14ac:dyDescent="0.3"/>
    <row r="3" spans="1:30" ht="18" x14ac:dyDescent="0.25">
      <c r="K3" s="191" t="s">
        <v>110</v>
      </c>
      <c r="L3" s="192"/>
      <c r="M3" s="192"/>
      <c r="N3" s="192"/>
      <c r="O3" s="192"/>
      <c r="P3" s="192"/>
      <c r="Q3" s="192"/>
      <c r="R3" s="192"/>
      <c r="S3" s="193"/>
      <c r="T3" s="115"/>
      <c r="U3" s="115"/>
      <c r="V3" s="181" t="s">
        <v>116</v>
      </c>
      <c r="W3" s="182"/>
      <c r="X3" s="182"/>
      <c r="Y3" s="182"/>
      <c r="Z3" s="182"/>
      <c r="AA3" s="182"/>
      <c r="AB3" s="182"/>
      <c r="AC3" s="182"/>
      <c r="AD3" s="183"/>
    </row>
    <row r="4" spans="1:30" ht="18" x14ac:dyDescent="0.25">
      <c r="A4" s="201">
        <v>2010</v>
      </c>
      <c r="B4" s="201"/>
      <c r="C4" s="201"/>
      <c r="E4" s="201">
        <v>2020</v>
      </c>
      <c r="F4" s="201"/>
      <c r="G4" s="201"/>
      <c r="K4" s="184" t="s">
        <v>111</v>
      </c>
      <c r="L4" s="185"/>
      <c r="M4" s="185"/>
      <c r="N4" s="185"/>
      <c r="O4" s="35"/>
      <c r="P4" s="186" t="s">
        <v>112</v>
      </c>
      <c r="Q4" s="186"/>
      <c r="R4" s="186"/>
      <c r="S4" s="187"/>
      <c r="T4" s="115"/>
      <c r="U4" s="115"/>
      <c r="V4" s="194" t="s">
        <v>111</v>
      </c>
      <c r="W4" s="165"/>
      <c r="X4" s="165"/>
      <c r="Y4" s="165"/>
      <c r="Z4" s="116"/>
      <c r="AA4" s="195" t="s">
        <v>112</v>
      </c>
      <c r="AB4" s="195"/>
      <c r="AC4" s="195"/>
      <c r="AD4" s="196"/>
    </row>
    <row r="5" spans="1:30" ht="15.75" x14ac:dyDescent="0.25">
      <c r="A5" s="108" t="s">
        <v>54</v>
      </c>
      <c r="B5" s="109" t="s">
        <v>5</v>
      </c>
      <c r="C5" s="110" t="s">
        <v>6</v>
      </c>
      <c r="E5" s="108"/>
      <c r="F5" s="109" t="s">
        <v>5</v>
      </c>
      <c r="G5" s="110" t="s">
        <v>6</v>
      </c>
      <c r="K5" s="188">
        <v>2010</v>
      </c>
      <c r="L5" s="189"/>
      <c r="M5" s="189">
        <v>2020</v>
      </c>
      <c r="N5" s="189"/>
      <c r="O5" s="35"/>
      <c r="P5" s="189">
        <v>2010</v>
      </c>
      <c r="Q5" s="189"/>
      <c r="R5" s="189">
        <v>2020</v>
      </c>
      <c r="S5" s="190"/>
      <c r="T5" s="115"/>
      <c r="U5" s="115"/>
      <c r="V5" s="197">
        <v>2010</v>
      </c>
      <c r="W5" s="198"/>
      <c r="X5" s="198">
        <v>2020</v>
      </c>
      <c r="Y5" s="198"/>
      <c r="Z5" s="118"/>
      <c r="AA5" s="198">
        <v>2010</v>
      </c>
      <c r="AB5" s="198"/>
      <c r="AC5" s="198">
        <v>2020</v>
      </c>
      <c r="AD5" s="199"/>
    </row>
    <row r="6" spans="1:30" x14ac:dyDescent="0.25">
      <c r="A6" s="111" t="s">
        <v>63</v>
      </c>
      <c r="B6" s="24">
        <v>1</v>
      </c>
      <c r="C6" s="24">
        <v>2</v>
      </c>
      <c r="E6" s="111" t="s">
        <v>63</v>
      </c>
      <c r="F6" s="24">
        <v>5</v>
      </c>
      <c r="G6" s="24">
        <v>5</v>
      </c>
      <c r="H6" s="4"/>
      <c r="K6" s="119"/>
      <c r="L6" s="115"/>
      <c r="M6" s="115"/>
      <c r="N6" s="115"/>
      <c r="O6" s="115"/>
      <c r="P6" s="115"/>
      <c r="Q6" s="115"/>
      <c r="R6" s="115"/>
      <c r="S6" s="120"/>
      <c r="T6" s="115"/>
      <c r="U6" s="115"/>
      <c r="V6" s="121"/>
      <c r="W6" s="122"/>
      <c r="X6" s="122"/>
      <c r="Y6" s="122"/>
      <c r="Z6" s="122"/>
      <c r="AA6" s="122"/>
      <c r="AB6" s="122"/>
      <c r="AC6" s="122"/>
      <c r="AD6" s="123"/>
    </row>
    <row r="7" spans="1:30" ht="15.75" x14ac:dyDescent="0.25">
      <c r="A7" s="111" t="s">
        <v>64</v>
      </c>
      <c r="B7" s="24" t="s">
        <v>54</v>
      </c>
      <c r="C7" s="24" t="s">
        <v>54</v>
      </c>
      <c r="E7" s="111" t="s">
        <v>64</v>
      </c>
      <c r="F7" s="24">
        <v>2</v>
      </c>
      <c r="G7" s="24" t="s">
        <v>54</v>
      </c>
      <c r="H7" s="4"/>
      <c r="K7" s="124" t="s">
        <v>113</v>
      </c>
      <c r="L7" s="125" t="s">
        <v>114</v>
      </c>
      <c r="M7" s="126" t="s">
        <v>113</v>
      </c>
      <c r="N7" s="127" t="s">
        <v>114</v>
      </c>
      <c r="O7" s="115"/>
      <c r="P7" s="128" t="s">
        <v>113</v>
      </c>
      <c r="Q7" s="129" t="s">
        <v>115</v>
      </c>
      <c r="R7" s="128" t="s">
        <v>113</v>
      </c>
      <c r="S7" s="130" t="s">
        <v>115</v>
      </c>
      <c r="T7" s="115"/>
      <c r="U7" s="115"/>
      <c r="V7" s="124" t="s">
        <v>113</v>
      </c>
      <c r="W7" s="129" t="s">
        <v>114</v>
      </c>
      <c r="X7" s="124" t="s">
        <v>113</v>
      </c>
      <c r="Y7" s="131" t="s">
        <v>114</v>
      </c>
      <c r="Z7" s="132"/>
      <c r="AA7" s="124" t="s">
        <v>113</v>
      </c>
      <c r="AB7" s="129" t="s">
        <v>115</v>
      </c>
      <c r="AC7" s="124" t="s">
        <v>113</v>
      </c>
      <c r="AD7" s="133" t="s">
        <v>115</v>
      </c>
    </row>
    <row r="8" spans="1:30" x14ac:dyDescent="0.25">
      <c r="A8" s="111" t="s">
        <v>65</v>
      </c>
      <c r="B8" s="24" t="s">
        <v>54</v>
      </c>
      <c r="C8" s="24" t="s">
        <v>54</v>
      </c>
      <c r="E8" s="111" t="s">
        <v>65</v>
      </c>
      <c r="F8" s="24">
        <v>4</v>
      </c>
      <c r="G8" s="24">
        <v>7</v>
      </c>
      <c r="H8" s="4"/>
      <c r="K8" s="134" t="s">
        <v>63</v>
      </c>
      <c r="L8" s="135">
        <f>(B6/Poblacion!$M$24)*1000</f>
        <v>4.1893845536652291E-3</v>
      </c>
      <c r="M8" s="136" t="s">
        <v>63</v>
      </c>
      <c r="N8" s="137">
        <f>(F6/Poblacion!$Q$24)*1000</f>
        <v>1.982428716582631E-2</v>
      </c>
      <c r="O8" s="115"/>
      <c r="P8" s="138" t="s">
        <v>63</v>
      </c>
      <c r="Q8" s="139">
        <f>(B6/$B$53)*100</f>
        <v>0.21691973969631237</v>
      </c>
      <c r="R8" s="138" t="s">
        <v>63</v>
      </c>
      <c r="S8" s="140">
        <f>(F6/$F$53)*100</f>
        <v>0.21294718909710392</v>
      </c>
      <c r="T8" s="115"/>
      <c r="U8" s="115"/>
      <c r="V8" s="134" t="s">
        <v>63</v>
      </c>
      <c r="W8" s="141">
        <f>(C6/Poblacion!$N$24)*1000</f>
        <v>8.0338088453344742E-3</v>
      </c>
      <c r="X8" s="134" t="s">
        <v>63</v>
      </c>
      <c r="Y8" s="142">
        <f>(G6/Poblacion!$R$24)*1000</f>
        <v>1.8830208189724102E-2</v>
      </c>
      <c r="Z8" s="122"/>
      <c r="AA8" s="134" t="s">
        <v>63</v>
      </c>
      <c r="AB8" s="141">
        <f>(C6/$C$53)*100</f>
        <v>0.53619302949061665</v>
      </c>
      <c r="AC8" s="134" t="s">
        <v>63</v>
      </c>
      <c r="AD8" s="143">
        <f>(G6/$G$53)*100</f>
        <v>0.31645569620253167</v>
      </c>
    </row>
    <row r="9" spans="1:30" x14ac:dyDescent="0.25">
      <c r="A9" s="111" t="s">
        <v>66</v>
      </c>
      <c r="B9" s="24" t="s">
        <v>54</v>
      </c>
      <c r="C9" s="24" t="s">
        <v>54</v>
      </c>
      <c r="E9" s="111" t="s">
        <v>66</v>
      </c>
      <c r="F9" s="24">
        <v>1</v>
      </c>
      <c r="G9" s="24" t="s">
        <v>54</v>
      </c>
      <c r="H9" s="4"/>
      <c r="K9" s="134" t="s">
        <v>64</v>
      </c>
      <c r="L9" s="135">
        <v>0</v>
      </c>
      <c r="M9" s="136" t="s">
        <v>64</v>
      </c>
      <c r="N9" s="137">
        <f>(F7/Poblacion!$Q$24)*1000</f>
        <v>7.9297148663305238E-3</v>
      </c>
      <c r="O9" s="115"/>
      <c r="P9" s="138" t="s">
        <v>64</v>
      </c>
      <c r="Q9" s="139">
        <v>0</v>
      </c>
      <c r="R9" s="138" t="s">
        <v>64</v>
      </c>
      <c r="S9" s="140">
        <f t="shared" ref="S9:S53" si="0">(F7/$F$53)*100</f>
        <v>8.5178875638841564E-2</v>
      </c>
      <c r="T9" s="115"/>
      <c r="U9" s="115"/>
      <c r="V9" s="134" t="s">
        <v>64</v>
      </c>
      <c r="W9" s="141">
        <v>0</v>
      </c>
      <c r="X9" s="134" t="s">
        <v>64</v>
      </c>
      <c r="Y9" s="142">
        <v>0</v>
      </c>
      <c r="Z9" s="122"/>
      <c r="AA9" s="134" t="s">
        <v>64</v>
      </c>
      <c r="AB9" s="141">
        <v>0</v>
      </c>
      <c r="AC9" s="134" t="s">
        <v>64</v>
      </c>
      <c r="AD9" s="143">
        <v>0</v>
      </c>
    </row>
    <row r="10" spans="1:30" x14ac:dyDescent="0.25">
      <c r="A10" s="111" t="s">
        <v>67</v>
      </c>
      <c r="B10" s="24">
        <v>2</v>
      </c>
      <c r="C10" s="24">
        <v>3</v>
      </c>
      <c r="E10" s="111" t="s">
        <v>67</v>
      </c>
      <c r="F10" s="112">
        <v>565</v>
      </c>
      <c r="G10" s="112">
        <v>283</v>
      </c>
      <c r="H10" s="4"/>
      <c r="K10" s="134" t="s">
        <v>65</v>
      </c>
      <c r="L10" s="135">
        <v>0</v>
      </c>
      <c r="M10" s="136" t="s">
        <v>65</v>
      </c>
      <c r="N10" s="137">
        <f>(F8/Poblacion!$Q$24)*1000</f>
        <v>1.5859429732661048E-2</v>
      </c>
      <c r="O10" s="115"/>
      <c r="P10" s="138" t="s">
        <v>65</v>
      </c>
      <c r="Q10" s="139">
        <v>0</v>
      </c>
      <c r="R10" s="138" t="s">
        <v>65</v>
      </c>
      <c r="S10" s="140">
        <f t="shared" si="0"/>
        <v>0.17035775127768313</v>
      </c>
      <c r="T10" s="115"/>
      <c r="U10" s="115"/>
      <c r="V10" s="134" t="s">
        <v>65</v>
      </c>
      <c r="W10" s="141">
        <v>0</v>
      </c>
      <c r="X10" s="134" t="s">
        <v>65</v>
      </c>
      <c r="Y10" s="142">
        <f>(G8/Poblacion!$R$24)*1000</f>
        <v>2.6362291465613742E-2</v>
      </c>
      <c r="Z10" s="122"/>
      <c r="AA10" s="134" t="s">
        <v>65</v>
      </c>
      <c r="AB10" s="141">
        <v>0</v>
      </c>
      <c r="AC10" s="134" t="s">
        <v>65</v>
      </c>
      <c r="AD10" s="143">
        <f t="shared" ref="AD10:AD54" si="1">(G8/$G$53)*100</f>
        <v>0.44303797468354433</v>
      </c>
    </row>
    <row r="11" spans="1:30" x14ac:dyDescent="0.25">
      <c r="A11" s="111" t="s">
        <v>68</v>
      </c>
      <c r="B11" s="24">
        <v>1</v>
      </c>
      <c r="C11" s="24">
        <v>1</v>
      </c>
      <c r="E11" s="111" t="s">
        <v>68</v>
      </c>
      <c r="F11" s="24">
        <v>4</v>
      </c>
      <c r="G11" s="24">
        <v>2</v>
      </c>
      <c r="H11" s="4"/>
      <c r="K11" s="134" t="s">
        <v>66</v>
      </c>
      <c r="L11" s="135">
        <v>0</v>
      </c>
      <c r="M11" s="136" t="s">
        <v>66</v>
      </c>
      <c r="N11" s="137">
        <f>(F9/Poblacion!$Q$24)*1000</f>
        <v>3.9648574331652619E-3</v>
      </c>
      <c r="O11" s="115"/>
      <c r="P11" s="138" t="s">
        <v>66</v>
      </c>
      <c r="Q11" s="139">
        <v>0</v>
      </c>
      <c r="R11" s="138" t="s">
        <v>66</v>
      </c>
      <c r="S11" s="140">
        <f t="shared" si="0"/>
        <v>4.2589437819420782E-2</v>
      </c>
      <c r="T11" s="115"/>
      <c r="U11" s="115"/>
      <c r="V11" s="134" t="s">
        <v>66</v>
      </c>
      <c r="W11" s="141">
        <v>0</v>
      </c>
      <c r="X11" s="134" t="s">
        <v>66</v>
      </c>
      <c r="Y11" s="142">
        <v>0</v>
      </c>
      <c r="Z11" s="122"/>
      <c r="AA11" s="134" t="s">
        <v>66</v>
      </c>
      <c r="AB11" s="141">
        <v>0</v>
      </c>
      <c r="AC11" s="134" t="s">
        <v>66</v>
      </c>
      <c r="AD11" s="143">
        <v>0</v>
      </c>
    </row>
    <row r="12" spans="1:30" x14ac:dyDescent="0.25">
      <c r="A12" s="111" t="s">
        <v>69</v>
      </c>
      <c r="B12" s="24">
        <v>23</v>
      </c>
      <c r="C12" s="24">
        <v>20</v>
      </c>
      <c r="E12" s="111" t="s">
        <v>69</v>
      </c>
      <c r="F12" s="24">
        <v>46</v>
      </c>
      <c r="G12" s="24">
        <v>41</v>
      </c>
      <c r="H12" s="4"/>
      <c r="K12" s="134" t="s">
        <v>67</v>
      </c>
      <c r="L12" s="135">
        <f>(B10/Poblacion!$M$24)*1000</f>
        <v>8.3787691073304582E-3</v>
      </c>
      <c r="M12" s="136" t="s">
        <v>67</v>
      </c>
      <c r="N12" s="137">
        <f>(F10/Poblacion!$Q$24)*1000</f>
        <v>2.2401444497383731</v>
      </c>
      <c r="O12" s="115"/>
      <c r="P12" s="138" t="s">
        <v>67</v>
      </c>
      <c r="Q12" s="139">
        <f t="shared" ref="Q12:Q53" si="2">(B10/$B$53)*100</f>
        <v>0.43383947939262474</v>
      </c>
      <c r="R12" s="138" t="s">
        <v>67</v>
      </c>
      <c r="S12" s="140">
        <f t="shared" si="0"/>
        <v>24.063032367972742</v>
      </c>
      <c r="T12" s="115"/>
      <c r="U12" s="115"/>
      <c r="V12" s="134" t="s">
        <v>67</v>
      </c>
      <c r="W12" s="141">
        <f>(C10/Poblacion!$N$24)*1000</f>
        <v>1.2050713268001712E-2</v>
      </c>
      <c r="X12" s="134" t="s">
        <v>67</v>
      </c>
      <c r="Y12" s="142">
        <f>(G10/Poblacion!$R$24)*1000</f>
        <v>1.0657897835383841</v>
      </c>
      <c r="Z12" s="122"/>
      <c r="AA12" s="134" t="s">
        <v>67</v>
      </c>
      <c r="AB12" s="141">
        <f t="shared" ref="AB12:AB52" si="3">(C10/$C$53)*100</f>
        <v>0.80428954423592491</v>
      </c>
      <c r="AC12" s="134" t="s">
        <v>67</v>
      </c>
      <c r="AD12" s="143">
        <f t="shared" si="1"/>
        <v>17.911392405063292</v>
      </c>
    </row>
    <row r="13" spans="1:30" x14ac:dyDescent="0.25">
      <c r="A13" s="111" t="s">
        <v>70</v>
      </c>
      <c r="B13" s="24">
        <v>3</v>
      </c>
      <c r="C13" s="24">
        <v>6</v>
      </c>
      <c r="E13" s="111" t="s">
        <v>70</v>
      </c>
      <c r="F13" s="24">
        <v>13</v>
      </c>
      <c r="G13" s="24">
        <v>6</v>
      </c>
      <c r="H13" s="4"/>
      <c r="K13" s="134" t="s">
        <v>68</v>
      </c>
      <c r="L13" s="135">
        <f>(B11/Poblacion!$M$24)*1000</f>
        <v>4.1893845536652291E-3</v>
      </c>
      <c r="M13" s="136" t="s">
        <v>68</v>
      </c>
      <c r="N13" s="137">
        <f>(F11/Poblacion!$Q$24)*1000</f>
        <v>1.5859429732661048E-2</v>
      </c>
      <c r="O13" s="115"/>
      <c r="P13" s="138" t="s">
        <v>68</v>
      </c>
      <c r="Q13" s="139">
        <f t="shared" si="2"/>
        <v>0.21691973969631237</v>
      </c>
      <c r="R13" s="138" t="s">
        <v>68</v>
      </c>
      <c r="S13" s="140">
        <f t="shared" si="0"/>
        <v>0.17035775127768313</v>
      </c>
      <c r="T13" s="115"/>
      <c r="U13" s="115"/>
      <c r="V13" s="134" t="s">
        <v>68</v>
      </c>
      <c r="W13" s="141">
        <f>(C11/Poblacion!$N$24)*1000</f>
        <v>4.0169044226672371E-3</v>
      </c>
      <c r="X13" s="134" t="s">
        <v>68</v>
      </c>
      <c r="Y13" s="142">
        <f>(G11/Poblacion!$R$24)*1000</f>
        <v>7.5320832758896412E-3</v>
      </c>
      <c r="Z13" s="122"/>
      <c r="AA13" s="134" t="s">
        <v>68</v>
      </c>
      <c r="AB13" s="141">
        <f t="shared" si="3"/>
        <v>0.26809651474530832</v>
      </c>
      <c r="AC13" s="134" t="s">
        <v>68</v>
      </c>
      <c r="AD13" s="143">
        <f t="shared" si="1"/>
        <v>0.12658227848101267</v>
      </c>
    </row>
    <row r="14" spans="1:30" x14ac:dyDescent="0.25">
      <c r="A14" s="111" t="s">
        <v>71</v>
      </c>
      <c r="B14" s="24">
        <v>5</v>
      </c>
      <c r="C14" s="24">
        <v>13</v>
      </c>
      <c r="E14" s="111" t="s">
        <v>71</v>
      </c>
      <c r="F14" s="24">
        <v>9</v>
      </c>
      <c r="G14" s="24">
        <v>35</v>
      </c>
      <c r="H14" s="4"/>
      <c r="K14" s="134" t="s">
        <v>69</v>
      </c>
      <c r="L14" s="135">
        <f>(B12/Poblacion!$M$24)*1000</f>
        <v>9.6355844734300269E-2</v>
      </c>
      <c r="M14" s="136" t="s">
        <v>69</v>
      </c>
      <c r="N14" s="137">
        <f>(F12/Poblacion!$Q$24)*1000</f>
        <v>0.18238344192560207</v>
      </c>
      <c r="O14" s="115"/>
      <c r="P14" s="138" t="s">
        <v>69</v>
      </c>
      <c r="Q14" s="139">
        <f t="shared" si="2"/>
        <v>4.9891540130151846</v>
      </c>
      <c r="R14" s="138" t="s">
        <v>69</v>
      </c>
      <c r="S14" s="140">
        <f t="shared" si="0"/>
        <v>1.9591141396933562</v>
      </c>
      <c r="T14" s="115"/>
      <c r="U14" s="115"/>
      <c r="V14" s="134" t="s">
        <v>69</v>
      </c>
      <c r="W14" s="141">
        <f>(C12/Poblacion!$N$24)*1000</f>
        <v>8.0338088453344753E-2</v>
      </c>
      <c r="X14" s="134" t="s">
        <v>69</v>
      </c>
      <c r="Y14" s="142">
        <f>(G12/Poblacion!$R$24)*1000</f>
        <v>0.15440770715573762</v>
      </c>
      <c r="Z14" s="122"/>
      <c r="AA14" s="134" t="s">
        <v>69</v>
      </c>
      <c r="AB14" s="141">
        <f t="shared" si="3"/>
        <v>5.3619302949061662</v>
      </c>
      <c r="AC14" s="134" t="s">
        <v>69</v>
      </c>
      <c r="AD14" s="143">
        <f t="shared" si="1"/>
        <v>2.5949367088607596</v>
      </c>
    </row>
    <row r="15" spans="1:30" x14ac:dyDescent="0.25">
      <c r="A15" s="111" t="s">
        <v>72</v>
      </c>
      <c r="B15" s="24">
        <v>11</v>
      </c>
      <c r="C15" s="24">
        <v>13</v>
      </c>
      <c r="E15" s="111" t="s">
        <v>72</v>
      </c>
      <c r="F15" s="24">
        <v>21</v>
      </c>
      <c r="G15" s="24">
        <v>36</v>
      </c>
      <c r="H15" s="4"/>
      <c r="K15" s="134" t="s">
        <v>70</v>
      </c>
      <c r="L15" s="135">
        <f>(B13/Poblacion!$M$24)*1000</f>
        <v>1.2568153660995687E-2</v>
      </c>
      <c r="M15" s="136" t="s">
        <v>70</v>
      </c>
      <c r="N15" s="137">
        <f>(F13/Poblacion!$Q$24)*1000</f>
        <v>5.1543146631148409E-2</v>
      </c>
      <c r="O15" s="115"/>
      <c r="P15" s="138" t="s">
        <v>70</v>
      </c>
      <c r="Q15" s="139">
        <f t="shared" si="2"/>
        <v>0.65075921908893708</v>
      </c>
      <c r="R15" s="138" t="s">
        <v>70</v>
      </c>
      <c r="S15" s="140">
        <f t="shared" si="0"/>
        <v>0.55366269165247017</v>
      </c>
      <c r="T15" s="115"/>
      <c r="U15" s="115"/>
      <c r="V15" s="134" t="s">
        <v>70</v>
      </c>
      <c r="W15" s="141">
        <f>(C13/Poblacion!$N$24)*1000</f>
        <v>2.4101426536003424E-2</v>
      </c>
      <c r="X15" s="134" t="s">
        <v>70</v>
      </c>
      <c r="Y15" s="142">
        <f>(G13/Poblacion!$R$24)*1000</f>
        <v>2.2596249827668922E-2</v>
      </c>
      <c r="Z15" s="122"/>
      <c r="AA15" s="134" t="s">
        <v>70</v>
      </c>
      <c r="AB15" s="141">
        <f t="shared" si="3"/>
        <v>1.6085790884718498</v>
      </c>
      <c r="AC15" s="134" t="s">
        <v>70</v>
      </c>
      <c r="AD15" s="143">
        <f t="shared" si="1"/>
        <v>0.37974683544303794</v>
      </c>
    </row>
    <row r="16" spans="1:30" x14ac:dyDescent="0.25">
      <c r="A16" s="111" t="s">
        <v>73</v>
      </c>
      <c r="B16" s="24">
        <v>8</v>
      </c>
      <c r="C16" s="24">
        <v>7</v>
      </c>
      <c r="E16" s="111" t="s">
        <v>73</v>
      </c>
      <c r="F16" s="24">
        <v>9</v>
      </c>
      <c r="G16" s="24">
        <v>6</v>
      </c>
      <c r="H16" s="4"/>
      <c r="K16" s="134" t="s">
        <v>71</v>
      </c>
      <c r="L16" s="135">
        <f>(B14/Poblacion!$M$24)*1000</f>
        <v>2.0946922768326146E-2</v>
      </c>
      <c r="M16" s="136" t="s">
        <v>71</v>
      </c>
      <c r="N16" s="137">
        <f>(F14/Poblacion!$Q$24)*1000</f>
        <v>3.5683716898487365E-2</v>
      </c>
      <c r="O16" s="115"/>
      <c r="P16" s="138" t="s">
        <v>71</v>
      </c>
      <c r="Q16" s="139">
        <f t="shared" si="2"/>
        <v>1.0845986984815619</v>
      </c>
      <c r="R16" s="138" t="s">
        <v>71</v>
      </c>
      <c r="S16" s="140">
        <f t="shared" si="0"/>
        <v>0.38330494037478707</v>
      </c>
      <c r="T16" s="115"/>
      <c r="U16" s="115"/>
      <c r="V16" s="134" t="s">
        <v>71</v>
      </c>
      <c r="W16" s="141">
        <f>(C14/Poblacion!$N$24)*1000</f>
        <v>5.2219757494674085E-2</v>
      </c>
      <c r="X16" s="134" t="s">
        <v>71</v>
      </c>
      <c r="Y16" s="142">
        <f>(G14/Poblacion!$R$24)*1000</f>
        <v>0.1318114573280687</v>
      </c>
      <c r="Z16" s="122"/>
      <c r="AA16" s="134" t="s">
        <v>71</v>
      </c>
      <c r="AB16" s="141">
        <f t="shared" si="3"/>
        <v>3.4852546916890081</v>
      </c>
      <c r="AC16" s="134" t="s">
        <v>71</v>
      </c>
      <c r="AD16" s="143">
        <f t="shared" si="1"/>
        <v>2.2151898734177213</v>
      </c>
    </row>
    <row r="17" spans="1:30" x14ac:dyDescent="0.25">
      <c r="A17" s="111" t="s">
        <v>74</v>
      </c>
      <c r="B17" s="24">
        <v>1</v>
      </c>
      <c r="C17" s="24">
        <v>3</v>
      </c>
      <c r="E17" s="111" t="s">
        <v>74</v>
      </c>
      <c r="F17" s="24">
        <v>16</v>
      </c>
      <c r="G17" s="24">
        <v>7</v>
      </c>
      <c r="H17" s="4"/>
      <c r="K17" s="134" t="s">
        <v>72</v>
      </c>
      <c r="L17" s="135">
        <f>(B15/Poblacion!$M$24)*1000</f>
        <v>4.608323009031752E-2</v>
      </c>
      <c r="M17" s="136" t="s">
        <v>72</v>
      </c>
      <c r="N17" s="137">
        <f>(F15/Poblacion!$Q$24)*1000</f>
        <v>8.3262006096470498E-2</v>
      </c>
      <c r="O17" s="115"/>
      <c r="P17" s="138" t="s">
        <v>72</v>
      </c>
      <c r="Q17" s="139">
        <f t="shared" si="2"/>
        <v>2.3861171366594358</v>
      </c>
      <c r="R17" s="138" t="s">
        <v>72</v>
      </c>
      <c r="S17" s="140">
        <f t="shared" si="0"/>
        <v>0.89437819420783649</v>
      </c>
      <c r="T17" s="115"/>
      <c r="U17" s="115"/>
      <c r="V17" s="134" t="s">
        <v>72</v>
      </c>
      <c r="W17" s="141">
        <f>(C15/Poblacion!$N$24)*1000</f>
        <v>5.2219757494674085E-2</v>
      </c>
      <c r="X17" s="134" t="s">
        <v>72</v>
      </c>
      <c r="Y17" s="142">
        <f>(G15/Poblacion!$R$24)*1000</f>
        <v>0.13557749896601354</v>
      </c>
      <c r="Z17" s="122"/>
      <c r="AA17" s="134" t="s">
        <v>72</v>
      </c>
      <c r="AB17" s="141">
        <f t="shared" si="3"/>
        <v>3.4852546916890081</v>
      </c>
      <c r="AC17" s="134" t="s">
        <v>72</v>
      </c>
      <c r="AD17" s="143">
        <f t="shared" si="1"/>
        <v>2.278481012658228</v>
      </c>
    </row>
    <row r="18" spans="1:30" x14ac:dyDescent="0.25">
      <c r="A18" s="111" t="s">
        <v>75</v>
      </c>
      <c r="B18" s="24">
        <v>5</v>
      </c>
      <c r="C18" s="24">
        <v>3</v>
      </c>
      <c r="E18" s="111" t="s">
        <v>75</v>
      </c>
      <c r="F18" s="24" t="s">
        <v>54</v>
      </c>
      <c r="G18" s="24" t="s">
        <v>54</v>
      </c>
      <c r="H18" s="4"/>
      <c r="K18" s="134" t="s">
        <v>73</v>
      </c>
      <c r="L18" s="135">
        <f>(B16/Poblacion!$M$24)*1000</f>
        <v>3.3515076429321833E-2</v>
      </c>
      <c r="M18" s="136" t="s">
        <v>73</v>
      </c>
      <c r="N18" s="137">
        <f>(F16/Poblacion!$Q$24)*1000</f>
        <v>3.5683716898487365E-2</v>
      </c>
      <c r="O18" s="115"/>
      <c r="P18" s="138" t="s">
        <v>73</v>
      </c>
      <c r="Q18" s="139">
        <f t="shared" si="2"/>
        <v>1.735357917570499</v>
      </c>
      <c r="R18" s="138" t="s">
        <v>73</v>
      </c>
      <c r="S18" s="140">
        <f t="shared" si="0"/>
        <v>0.38330494037478707</v>
      </c>
      <c r="T18" s="115"/>
      <c r="U18" s="115"/>
      <c r="V18" s="134" t="s">
        <v>73</v>
      </c>
      <c r="W18" s="141">
        <f>(C16/Poblacion!$N$24)*1000</f>
        <v>2.8118330958670664E-2</v>
      </c>
      <c r="X18" s="134" t="s">
        <v>73</v>
      </c>
      <c r="Y18" s="142">
        <f>(G16/Poblacion!$R$24)*1000</f>
        <v>2.2596249827668922E-2</v>
      </c>
      <c r="Z18" s="122"/>
      <c r="AA18" s="134" t="s">
        <v>73</v>
      </c>
      <c r="AB18" s="141">
        <f t="shared" si="3"/>
        <v>1.8766756032171581</v>
      </c>
      <c r="AC18" s="134" t="s">
        <v>73</v>
      </c>
      <c r="AD18" s="143">
        <f t="shared" si="1"/>
        <v>0.37974683544303794</v>
      </c>
    </row>
    <row r="19" spans="1:30" x14ac:dyDescent="0.25">
      <c r="A19" s="111" t="s">
        <v>76</v>
      </c>
      <c r="B19" s="24" t="s">
        <v>54</v>
      </c>
      <c r="C19" s="24" t="s">
        <v>54</v>
      </c>
      <c r="E19" s="111" t="s">
        <v>76</v>
      </c>
      <c r="F19" s="24">
        <v>2</v>
      </c>
      <c r="G19" s="24">
        <v>3</v>
      </c>
      <c r="H19" s="4"/>
      <c r="K19" s="134" t="s">
        <v>74</v>
      </c>
      <c r="L19" s="135">
        <f>(B17/Poblacion!$M$24)*1000</f>
        <v>4.1893845536652291E-3</v>
      </c>
      <c r="M19" s="136" t="s">
        <v>74</v>
      </c>
      <c r="N19" s="137">
        <f>(F17/Poblacion!$Q$24)*1000</f>
        <v>6.3437718930644191E-2</v>
      </c>
      <c r="O19" s="115"/>
      <c r="P19" s="138" t="s">
        <v>74</v>
      </c>
      <c r="Q19" s="139">
        <f t="shared" si="2"/>
        <v>0.21691973969631237</v>
      </c>
      <c r="R19" s="138" t="s">
        <v>74</v>
      </c>
      <c r="S19" s="140">
        <f t="shared" si="0"/>
        <v>0.68143100511073251</v>
      </c>
      <c r="T19" s="115"/>
      <c r="U19" s="115"/>
      <c r="V19" s="134" t="s">
        <v>74</v>
      </c>
      <c r="W19" s="141">
        <f>(C17/Poblacion!$N$24)*1000</f>
        <v>1.2050713268001712E-2</v>
      </c>
      <c r="X19" s="134" t="s">
        <v>74</v>
      </c>
      <c r="Y19" s="142">
        <f>(G17/Poblacion!$R$24)*1000</f>
        <v>2.6362291465613742E-2</v>
      </c>
      <c r="Z19" s="122"/>
      <c r="AA19" s="134" t="s">
        <v>74</v>
      </c>
      <c r="AB19" s="141">
        <f t="shared" si="3"/>
        <v>0.80428954423592491</v>
      </c>
      <c r="AC19" s="134" t="s">
        <v>74</v>
      </c>
      <c r="AD19" s="143">
        <f t="shared" si="1"/>
        <v>0.44303797468354433</v>
      </c>
    </row>
    <row r="20" spans="1:30" x14ac:dyDescent="0.25">
      <c r="A20" s="111" t="s">
        <v>77</v>
      </c>
      <c r="B20" s="24">
        <v>2</v>
      </c>
      <c r="C20" s="24" t="s">
        <v>54</v>
      </c>
      <c r="E20" s="111" t="s">
        <v>77</v>
      </c>
      <c r="F20" s="24">
        <v>8</v>
      </c>
      <c r="G20" s="24">
        <v>6</v>
      </c>
      <c r="H20" s="4"/>
      <c r="K20" s="134" t="s">
        <v>75</v>
      </c>
      <c r="L20" s="135">
        <f>(B18/Poblacion!$M$24)*1000</f>
        <v>2.0946922768326146E-2</v>
      </c>
      <c r="M20" s="136" t="s">
        <v>75</v>
      </c>
      <c r="N20" s="137">
        <v>0</v>
      </c>
      <c r="O20" s="115"/>
      <c r="P20" s="138" t="s">
        <v>75</v>
      </c>
      <c r="Q20" s="139">
        <f t="shared" si="2"/>
        <v>1.0845986984815619</v>
      </c>
      <c r="R20" s="138" t="s">
        <v>75</v>
      </c>
      <c r="S20" s="140">
        <v>0</v>
      </c>
      <c r="T20" s="115"/>
      <c r="U20" s="115"/>
      <c r="V20" s="134" t="s">
        <v>75</v>
      </c>
      <c r="W20" s="141">
        <f>(C18/Poblacion!$N$24)*1000</f>
        <v>1.2050713268001712E-2</v>
      </c>
      <c r="X20" s="134" t="s">
        <v>75</v>
      </c>
      <c r="Y20" s="142">
        <v>0</v>
      </c>
      <c r="Z20" s="122"/>
      <c r="AA20" s="134" t="s">
        <v>75</v>
      </c>
      <c r="AB20" s="141">
        <f t="shared" si="3"/>
        <v>0.80428954423592491</v>
      </c>
      <c r="AC20" s="134" t="s">
        <v>75</v>
      </c>
      <c r="AD20" s="143">
        <v>0</v>
      </c>
    </row>
    <row r="21" spans="1:30" x14ac:dyDescent="0.25">
      <c r="A21" s="111" t="s">
        <v>78</v>
      </c>
      <c r="B21" s="24" t="s">
        <v>54</v>
      </c>
      <c r="C21" s="24">
        <v>2</v>
      </c>
      <c r="E21" s="111" t="s">
        <v>78</v>
      </c>
      <c r="F21" s="24">
        <v>4</v>
      </c>
      <c r="G21" s="24">
        <v>8</v>
      </c>
      <c r="H21" s="4"/>
      <c r="K21" s="134" t="s">
        <v>76</v>
      </c>
      <c r="L21" s="135">
        <v>0</v>
      </c>
      <c r="M21" s="136" t="s">
        <v>76</v>
      </c>
      <c r="N21" s="137">
        <f>(F19/Poblacion!$Q$24)*1000</f>
        <v>7.9297148663305238E-3</v>
      </c>
      <c r="O21" s="115"/>
      <c r="P21" s="138" t="s">
        <v>76</v>
      </c>
      <c r="Q21" s="139">
        <v>0</v>
      </c>
      <c r="R21" s="138" t="s">
        <v>76</v>
      </c>
      <c r="S21" s="140">
        <f t="shared" si="0"/>
        <v>8.5178875638841564E-2</v>
      </c>
      <c r="T21" s="115"/>
      <c r="U21" s="115"/>
      <c r="V21" s="134" t="s">
        <v>76</v>
      </c>
      <c r="W21" s="141">
        <v>0</v>
      </c>
      <c r="X21" s="134" t="s">
        <v>76</v>
      </c>
      <c r="Y21" s="142">
        <f>(G19/Poblacion!$R$24)*1000</f>
        <v>1.1298124913834461E-2</v>
      </c>
      <c r="Z21" s="122"/>
      <c r="AA21" s="134" t="s">
        <v>76</v>
      </c>
      <c r="AB21" s="141">
        <v>0</v>
      </c>
      <c r="AC21" s="134" t="s">
        <v>76</v>
      </c>
      <c r="AD21" s="143">
        <f t="shared" si="1"/>
        <v>0.18987341772151897</v>
      </c>
    </row>
    <row r="22" spans="1:30" x14ac:dyDescent="0.25">
      <c r="A22" s="111" t="s">
        <v>79</v>
      </c>
      <c r="B22" s="24">
        <v>77</v>
      </c>
      <c r="C22" s="24">
        <v>67</v>
      </c>
      <c r="E22" s="111" t="s">
        <v>79</v>
      </c>
      <c r="F22" s="112">
        <v>399</v>
      </c>
      <c r="G22" s="112">
        <v>324</v>
      </c>
      <c r="H22" s="4"/>
      <c r="K22" s="134" t="s">
        <v>77</v>
      </c>
      <c r="L22" s="135">
        <f>(B20/Poblacion!$M$24)*1000</f>
        <v>8.3787691073304582E-3</v>
      </c>
      <c r="M22" s="136" t="s">
        <v>77</v>
      </c>
      <c r="N22" s="137">
        <f>(F20/Poblacion!$Q$24)*1000</f>
        <v>3.1718859465322095E-2</v>
      </c>
      <c r="O22" s="115"/>
      <c r="P22" s="138" t="s">
        <v>77</v>
      </c>
      <c r="Q22" s="139">
        <f t="shared" si="2"/>
        <v>0.43383947939262474</v>
      </c>
      <c r="R22" s="138" t="s">
        <v>77</v>
      </c>
      <c r="S22" s="140">
        <f t="shared" si="0"/>
        <v>0.34071550255536626</v>
      </c>
      <c r="T22" s="115"/>
      <c r="U22" s="115"/>
      <c r="V22" s="134" t="s">
        <v>77</v>
      </c>
      <c r="W22" s="141">
        <v>0</v>
      </c>
      <c r="X22" s="134" t="s">
        <v>77</v>
      </c>
      <c r="Y22" s="142">
        <f>(G20/Poblacion!$R$24)*1000</f>
        <v>2.2596249827668922E-2</v>
      </c>
      <c r="Z22" s="122"/>
      <c r="AA22" s="134" t="s">
        <v>77</v>
      </c>
      <c r="AB22" s="141">
        <v>0</v>
      </c>
      <c r="AC22" s="134" t="s">
        <v>77</v>
      </c>
      <c r="AD22" s="143">
        <f t="shared" si="1"/>
        <v>0.37974683544303794</v>
      </c>
    </row>
    <row r="23" spans="1:30" x14ac:dyDescent="0.25">
      <c r="A23" s="111" t="s">
        <v>80</v>
      </c>
      <c r="B23" s="24">
        <v>8</v>
      </c>
      <c r="C23" s="24">
        <v>6</v>
      </c>
      <c r="E23" s="111" t="s">
        <v>80</v>
      </c>
      <c r="F23" s="24">
        <v>3</v>
      </c>
      <c r="G23" s="24">
        <v>5</v>
      </c>
      <c r="H23" s="4"/>
      <c r="K23" s="134" t="s">
        <v>78</v>
      </c>
      <c r="L23" s="135">
        <v>0</v>
      </c>
      <c r="M23" s="136" t="s">
        <v>78</v>
      </c>
      <c r="N23" s="137">
        <f>(F21/Poblacion!$Q$24)*1000</f>
        <v>1.5859429732661048E-2</v>
      </c>
      <c r="O23" s="115"/>
      <c r="P23" s="138" t="s">
        <v>78</v>
      </c>
      <c r="Q23" s="139">
        <v>0</v>
      </c>
      <c r="R23" s="138" t="s">
        <v>78</v>
      </c>
      <c r="S23" s="140">
        <f t="shared" si="0"/>
        <v>0.17035775127768313</v>
      </c>
      <c r="T23" s="115"/>
      <c r="U23" s="115"/>
      <c r="V23" s="134" t="s">
        <v>78</v>
      </c>
      <c r="W23" s="141">
        <f>(C21/Poblacion!$N$24)*1000</f>
        <v>8.0338088453344742E-3</v>
      </c>
      <c r="X23" s="134" t="s">
        <v>78</v>
      </c>
      <c r="Y23" s="142">
        <f>(G21/Poblacion!$R$24)*1000</f>
        <v>3.0128333103558565E-2</v>
      </c>
      <c r="Z23" s="122"/>
      <c r="AA23" s="134" t="s">
        <v>78</v>
      </c>
      <c r="AB23" s="141">
        <f t="shared" si="3"/>
        <v>0.53619302949061665</v>
      </c>
      <c r="AC23" s="134" t="s">
        <v>78</v>
      </c>
      <c r="AD23" s="143">
        <f t="shared" si="1"/>
        <v>0.50632911392405067</v>
      </c>
    </row>
    <row r="24" spans="1:30" x14ac:dyDescent="0.25">
      <c r="A24" s="111" t="s">
        <v>81</v>
      </c>
      <c r="B24" s="24">
        <v>2</v>
      </c>
      <c r="C24" s="24">
        <v>3</v>
      </c>
      <c r="E24" s="111" t="s">
        <v>81</v>
      </c>
      <c r="F24" s="24">
        <v>12</v>
      </c>
      <c r="G24" s="24">
        <v>5</v>
      </c>
      <c r="H24" s="4"/>
      <c r="K24" s="134" t="s">
        <v>79</v>
      </c>
      <c r="L24" s="135">
        <f>(B22/Poblacion!$M$24)*1000</f>
        <v>0.32258261063222265</v>
      </c>
      <c r="M24" s="136" t="s">
        <v>79</v>
      </c>
      <c r="N24" s="137">
        <f>(F22/Poblacion!$Q$24)*1000</f>
        <v>1.5819781158329396</v>
      </c>
      <c r="O24" s="115"/>
      <c r="P24" s="138" t="s">
        <v>79</v>
      </c>
      <c r="Q24" s="139">
        <f t="shared" si="2"/>
        <v>16.702819956616054</v>
      </c>
      <c r="R24" s="138" t="s">
        <v>79</v>
      </c>
      <c r="S24" s="140">
        <f t="shared" si="0"/>
        <v>16.993185689948891</v>
      </c>
      <c r="T24" s="115"/>
      <c r="U24" s="115"/>
      <c r="V24" s="134" t="s">
        <v>79</v>
      </c>
      <c r="W24" s="141">
        <f>(C22/Poblacion!$N$24)*1000</f>
        <v>0.2691325963187049</v>
      </c>
      <c r="X24" s="134" t="s">
        <v>79</v>
      </c>
      <c r="Y24" s="142">
        <f>(G22/Poblacion!$R$24)*1000</f>
        <v>1.2201974906941218</v>
      </c>
      <c r="Z24" s="122"/>
      <c r="AA24" s="134" t="s">
        <v>79</v>
      </c>
      <c r="AB24" s="141">
        <f t="shared" si="3"/>
        <v>17.962466487935657</v>
      </c>
      <c r="AC24" s="134" t="s">
        <v>79</v>
      </c>
      <c r="AD24" s="143">
        <f t="shared" si="1"/>
        <v>20.506329113924053</v>
      </c>
    </row>
    <row r="25" spans="1:30" x14ac:dyDescent="0.25">
      <c r="A25" s="111" t="s">
        <v>82</v>
      </c>
      <c r="B25" s="24">
        <v>11</v>
      </c>
      <c r="C25" s="24">
        <v>8</v>
      </c>
      <c r="E25" s="111" t="s">
        <v>82</v>
      </c>
      <c r="F25" s="24">
        <v>15</v>
      </c>
      <c r="G25" s="24">
        <v>15</v>
      </c>
      <c r="H25" s="4"/>
      <c r="K25" s="134" t="s">
        <v>80</v>
      </c>
      <c r="L25" s="135">
        <f>(B23/Poblacion!$M$24)*1000</f>
        <v>3.3515076429321833E-2</v>
      </c>
      <c r="M25" s="136" t="s">
        <v>80</v>
      </c>
      <c r="N25" s="137">
        <f>(F23/Poblacion!$Q$24)*1000</f>
        <v>1.1894572299495787E-2</v>
      </c>
      <c r="O25" s="115"/>
      <c r="P25" s="138" t="s">
        <v>80</v>
      </c>
      <c r="Q25" s="139">
        <f t="shared" si="2"/>
        <v>1.735357917570499</v>
      </c>
      <c r="R25" s="138" t="s">
        <v>80</v>
      </c>
      <c r="S25" s="140">
        <f t="shared" si="0"/>
        <v>0.12776831345826234</v>
      </c>
      <c r="T25" s="115"/>
      <c r="U25" s="115"/>
      <c r="V25" s="134" t="s">
        <v>80</v>
      </c>
      <c r="W25" s="141">
        <f>(C23/Poblacion!$N$24)*1000</f>
        <v>2.4101426536003424E-2</v>
      </c>
      <c r="X25" s="134" t="s">
        <v>80</v>
      </c>
      <c r="Y25" s="142">
        <f>(G23/Poblacion!$R$24)*1000</f>
        <v>1.8830208189724102E-2</v>
      </c>
      <c r="Z25" s="122"/>
      <c r="AA25" s="134" t="s">
        <v>80</v>
      </c>
      <c r="AB25" s="141">
        <f t="shared" si="3"/>
        <v>1.6085790884718498</v>
      </c>
      <c r="AC25" s="134" t="s">
        <v>80</v>
      </c>
      <c r="AD25" s="143">
        <f t="shared" si="1"/>
        <v>0.31645569620253167</v>
      </c>
    </row>
    <row r="26" spans="1:30" x14ac:dyDescent="0.25">
      <c r="A26" s="111" t="s">
        <v>83</v>
      </c>
      <c r="B26" s="24" t="s">
        <v>54</v>
      </c>
      <c r="C26" s="24">
        <v>2</v>
      </c>
      <c r="E26" s="111" t="s">
        <v>83</v>
      </c>
      <c r="F26" s="24" t="s">
        <v>54</v>
      </c>
      <c r="G26" s="24">
        <v>3</v>
      </c>
      <c r="H26" s="4"/>
      <c r="K26" s="134" t="s">
        <v>81</v>
      </c>
      <c r="L26" s="135">
        <f>(B24/Poblacion!$M$24)*1000</f>
        <v>8.3787691073304582E-3</v>
      </c>
      <c r="M26" s="136" t="s">
        <v>81</v>
      </c>
      <c r="N26" s="137">
        <f>(F24/Poblacion!$Q$24)*1000</f>
        <v>4.7578289197983147E-2</v>
      </c>
      <c r="O26" s="115"/>
      <c r="P26" s="138" t="s">
        <v>81</v>
      </c>
      <c r="Q26" s="139">
        <f t="shared" si="2"/>
        <v>0.43383947939262474</v>
      </c>
      <c r="R26" s="138" t="s">
        <v>81</v>
      </c>
      <c r="S26" s="140">
        <f t="shared" si="0"/>
        <v>0.51107325383304936</v>
      </c>
      <c r="T26" s="115"/>
      <c r="U26" s="115"/>
      <c r="V26" s="134" t="s">
        <v>81</v>
      </c>
      <c r="W26" s="141">
        <f>(C24/Poblacion!$N$24)*1000</f>
        <v>1.2050713268001712E-2</v>
      </c>
      <c r="X26" s="134" t="s">
        <v>81</v>
      </c>
      <c r="Y26" s="142">
        <f>(G24/Poblacion!$R$24)*1000</f>
        <v>1.8830208189724102E-2</v>
      </c>
      <c r="Z26" s="122"/>
      <c r="AA26" s="134" t="s">
        <v>81</v>
      </c>
      <c r="AB26" s="141">
        <f t="shared" si="3"/>
        <v>0.80428954423592491</v>
      </c>
      <c r="AC26" s="134" t="s">
        <v>81</v>
      </c>
      <c r="AD26" s="143">
        <f t="shared" si="1"/>
        <v>0.31645569620253167</v>
      </c>
    </row>
    <row r="27" spans="1:30" x14ac:dyDescent="0.25">
      <c r="A27" s="111" t="s">
        <v>84</v>
      </c>
      <c r="B27" s="24">
        <v>10</v>
      </c>
      <c r="C27" s="24">
        <v>15</v>
      </c>
      <c r="E27" s="111" t="s">
        <v>84</v>
      </c>
      <c r="F27" s="24">
        <v>61</v>
      </c>
      <c r="G27" s="24">
        <v>47</v>
      </c>
      <c r="H27" s="4"/>
      <c r="K27" s="134" t="s">
        <v>82</v>
      </c>
      <c r="L27" s="135">
        <f>(B25/Poblacion!$M$24)*1000</f>
        <v>4.608323009031752E-2</v>
      </c>
      <c r="M27" s="136" t="s">
        <v>82</v>
      </c>
      <c r="N27" s="137">
        <f>(F25/Poblacion!$Q$24)*1000</f>
        <v>5.9472861497478935E-2</v>
      </c>
      <c r="O27" s="115"/>
      <c r="P27" s="138" t="s">
        <v>82</v>
      </c>
      <c r="Q27" s="139">
        <f t="shared" si="2"/>
        <v>2.3861171366594358</v>
      </c>
      <c r="R27" s="138" t="s">
        <v>82</v>
      </c>
      <c r="S27" s="140">
        <f t="shared" si="0"/>
        <v>0.6388415672913117</v>
      </c>
      <c r="T27" s="115"/>
      <c r="U27" s="115"/>
      <c r="V27" s="134" t="s">
        <v>82</v>
      </c>
      <c r="W27" s="141">
        <f>(C25/Poblacion!$N$24)*1000</f>
        <v>3.2135235381337897E-2</v>
      </c>
      <c r="X27" s="134" t="s">
        <v>82</v>
      </c>
      <c r="Y27" s="142">
        <f>(G25/Poblacion!$R$24)*1000</f>
        <v>5.6490624569172303E-2</v>
      </c>
      <c r="Z27" s="122"/>
      <c r="AA27" s="134" t="s">
        <v>82</v>
      </c>
      <c r="AB27" s="141">
        <f t="shared" si="3"/>
        <v>2.1447721179624666</v>
      </c>
      <c r="AC27" s="134" t="s">
        <v>82</v>
      </c>
      <c r="AD27" s="143">
        <f t="shared" si="1"/>
        <v>0.949367088607595</v>
      </c>
    </row>
    <row r="28" spans="1:30" x14ac:dyDescent="0.25">
      <c r="A28" s="111" t="s">
        <v>85</v>
      </c>
      <c r="B28" s="24">
        <v>70</v>
      </c>
      <c r="C28" s="24">
        <v>55</v>
      </c>
      <c r="E28" s="111" t="s">
        <v>85</v>
      </c>
      <c r="F28" s="112">
        <v>387</v>
      </c>
      <c r="G28" s="24">
        <v>286</v>
      </c>
      <c r="H28" s="4"/>
      <c r="K28" s="134" t="s">
        <v>83</v>
      </c>
      <c r="L28" s="135">
        <v>0</v>
      </c>
      <c r="M28" s="136" t="s">
        <v>83</v>
      </c>
      <c r="N28" s="137">
        <v>0</v>
      </c>
      <c r="O28" s="115"/>
      <c r="P28" s="138" t="s">
        <v>83</v>
      </c>
      <c r="Q28" s="139">
        <v>0</v>
      </c>
      <c r="R28" s="138" t="s">
        <v>83</v>
      </c>
      <c r="S28" s="140">
        <v>0</v>
      </c>
      <c r="T28" s="115"/>
      <c r="U28" s="115"/>
      <c r="V28" s="134" t="s">
        <v>83</v>
      </c>
      <c r="W28" s="141">
        <f>(C26/Poblacion!$N$24)*1000</f>
        <v>8.0338088453344742E-3</v>
      </c>
      <c r="X28" s="134" t="s">
        <v>83</v>
      </c>
      <c r="Y28" s="142">
        <f>(G26/Poblacion!$R$24)*1000</f>
        <v>1.1298124913834461E-2</v>
      </c>
      <c r="Z28" s="122"/>
      <c r="AA28" s="134" t="s">
        <v>83</v>
      </c>
      <c r="AB28" s="141">
        <f t="shared" si="3"/>
        <v>0.53619302949061665</v>
      </c>
      <c r="AC28" s="134" t="s">
        <v>83</v>
      </c>
      <c r="AD28" s="143">
        <f t="shared" si="1"/>
        <v>0.18987341772151897</v>
      </c>
    </row>
    <row r="29" spans="1:30" x14ac:dyDescent="0.25">
      <c r="A29" s="111" t="s">
        <v>86</v>
      </c>
      <c r="B29" s="24">
        <v>6</v>
      </c>
      <c r="C29" s="24">
        <v>6</v>
      </c>
      <c r="E29" s="111" t="s">
        <v>86</v>
      </c>
      <c r="F29" s="24">
        <v>8</v>
      </c>
      <c r="G29" s="24">
        <v>17</v>
      </c>
      <c r="H29" s="4"/>
      <c r="K29" s="134" t="s">
        <v>84</v>
      </c>
      <c r="L29" s="135">
        <f>(B27/Poblacion!$M$24)*1000</f>
        <v>4.1893845536652291E-2</v>
      </c>
      <c r="M29" s="136" t="s">
        <v>84</v>
      </c>
      <c r="N29" s="137">
        <f>(F27/Poblacion!$Q$24)*1000</f>
        <v>0.24185630342308101</v>
      </c>
      <c r="O29" s="115"/>
      <c r="P29" s="138" t="s">
        <v>84</v>
      </c>
      <c r="Q29" s="139">
        <f t="shared" si="2"/>
        <v>2.1691973969631237</v>
      </c>
      <c r="R29" s="138" t="s">
        <v>84</v>
      </c>
      <c r="S29" s="140">
        <f t="shared" si="0"/>
        <v>2.5979557069846679</v>
      </c>
      <c r="T29" s="115"/>
      <c r="U29" s="115"/>
      <c r="V29" s="134" t="s">
        <v>84</v>
      </c>
      <c r="W29" s="141">
        <f>(C27/Poblacion!$N$24)*1000</f>
        <v>6.0253566340008564E-2</v>
      </c>
      <c r="X29" s="134" t="s">
        <v>84</v>
      </c>
      <c r="Y29" s="142">
        <f>(G27/Poblacion!$R$24)*1000</f>
        <v>0.17700395698340657</v>
      </c>
      <c r="Z29" s="122"/>
      <c r="AA29" s="134" t="s">
        <v>84</v>
      </c>
      <c r="AB29" s="141">
        <f t="shared" si="3"/>
        <v>4.0214477211796247</v>
      </c>
      <c r="AC29" s="134" t="s">
        <v>84</v>
      </c>
      <c r="AD29" s="143">
        <f t="shared" si="1"/>
        <v>2.9746835443037973</v>
      </c>
    </row>
    <row r="30" spans="1:30" x14ac:dyDescent="0.25">
      <c r="A30" s="111" t="s">
        <v>87</v>
      </c>
      <c r="B30" s="24">
        <v>7</v>
      </c>
      <c r="C30" s="24">
        <v>20</v>
      </c>
      <c r="E30" s="111" t="s">
        <v>87</v>
      </c>
      <c r="F30" s="24">
        <v>36</v>
      </c>
      <c r="G30" s="24">
        <v>53</v>
      </c>
      <c r="H30" s="4"/>
      <c r="K30" s="134" t="s">
        <v>85</v>
      </c>
      <c r="L30" s="135">
        <f>(B28/Poblacion!$M$24)*1000</f>
        <v>0.29325691875656601</v>
      </c>
      <c r="M30" s="136" t="s">
        <v>85</v>
      </c>
      <c r="N30" s="137">
        <f>(F28/Poblacion!$Q$24)*1000</f>
        <v>1.5343998266349563</v>
      </c>
      <c r="O30" s="115"/>
      <c r="P30" s="138" t="s">
        <v>85</v>
      </c>
      <c r="Q30" s="139">
        <f t="shared" si="2"/>
        <v>15.184381778741866</v>
      </c>
      <c r="R30" s="138" t="s">
        <v>85</v>
      </c>
      <c r="S30" s="140">
        <f t="shared" si="0"/>
        <v>16.482112436115841</v>
      </c>
      <c r="T30" s="115"/>
      <c r="U30" s="115"/>
      <c r="V30" s="134" t="s">
        <v>85</v>
      </c>
      <c r="W30" s="141">
        <f>(C28/Poblacion!$N$24)*1000</f>
        <v>0.22092974324669806</v>
      </c>
      <c r="X30" s="134" t="s">
        <v>85</v>
      </c>
      <c r="Y30" s="142">
        <f>(G28/Poblacion!$R$24)*1000</f>
        <v>1.0770879084522187</v>
      </c>
      <c r="Z30" s="122"/>
      <c r="AA30" s="134" t="s">
        <v>85</v>
      </c>
      <c r="AB30" s="141">
        <f t="shared" si="3"/>
        <v>14.745308310991955</v>
      </c>
      <c r="AC30" s="134" t="s">
        <v>85</v>
      </c>
      <c r="AD30" s="143">
        <f t="shared" si="1"/>
        <v>18.101265822784811</v>
      </c>
    </row>
    <row r="31" spans="1:30" x14ac:dyDescent="0.25">
      <c r="A31" s="111" t="s">
        <v>88</v>
      </c>
      <c r="B31" s="24">
        <v>3</v>
      </c>
      <c r="C31" s="24">
        <v>2</v>
      </c>
      <c r="E31" s="111" t="s">
        <v>88</v>
      </c>
      <c r="F31" s="24">
        <v>9</v>
      </c>
      <c r="G31" s="24">
        <v>9</v>
      </c>
      <c r="H31" s="4"/>
      <c r="K31" s="134" t="s">
        <v>86</v>
      </c>
      <c r="L31" s="135">
        <f>(B29/Poblacion!$M$24)*1000</f>
        <v>2.5136307321991375E-2</v>
      </c>
      <c r="M31" s="136" t="s">
        <v>86</v>
      </c>
      <c r="N31" s="137">
        <f>(F29/Poblacion!$Q$24)*1000</f>
        <v>3.1718859465322095E-2</v>
      </c>
      <c r="O31" s="115"/>
      <c r="P31" s="138" t="s">
        <v>86</v>
      </c>
      <c r="Q31" s="139">
        <f t="shared" si="2"/>
        <v>1.3015184381778742</v>
      </c>
      <c r="R31" s="138" t="s">
        <v>86</v>
      </c>
      <c r="S31" s="140">
        <f t="shared" si="0"/>
        <v>0.34071550255536626</v>
      </c>
      <c r="T31" s="115"/>
      <c r="U31" s="115"/>
      <c r="V31" s="134" t="s">
        <v>86</v>
      </c>
      <c r="W31" s="141">
        <f>(C29/Poblacion!$N$24)*1000</f>
        <v>2.4101426536003424E-2</v>
      </c>
      <c r="X31" s="134" t="s">
        <v>86</v>
      </c>
      <c r="Y31" s="142">
        <f>(G29/Poblacion!$R$24)*1000</f>
        <v>6.4022707845061949E-2</v>
      </c>
      <c r="Z31" s="122"/>
      <c r="AA31" s="134" t="s">
        <v>86</v>
      </c>
      <c r="AB31" s="141">
        <f t="shared" si="3"/>
        <v>1.6085790884718498</v>
      </c>
      <c r="AC31" s="134" t="s">
        <v>86</v>
      </c>
      <c r="AD31" s="143">
        <f t="shared" si="1"/>
        <v>1.0759493670886076</v>
      </c>
    </row>
    <row r="32" spans="1:30" x14ac:dyDescent="0.25">
      <c r="A32" s="111" t="s">
        <v>89</v>
      </c>
      <c r="B32" s="24" t="s">
        <v>54</v>
      </c>
      <c r="C32" s="24">
        <v>2</v>
      </c>
      <c r="E32" s="111" t="s">
        <v>89</v>
      </c>
      <c r="F32" s="24" t="s">
        <v>54</v>
      </c>
      <c r="G32" s="24" t="s">
        <v>54</v>
      </c>
      <c r="H32" s="4"/>
      <c r="K32" s="134" t="s">
        <v>87</v>
      </c>
      <c r="L32" s="135">
        <f>(B30/Poblacion!$M$24)*1000</f>
        <v>2.9325691875656604E-2</v>
      </c>
      <c r="M32" s="136" t="s">
        <v>87</v>
      </c>
      <c r="N32" s="137">
        <f>(F30/Poblacion!$Q$24)*1000</f>
        <v>0.14273486759394946</v>
      </c>
      <c r="O32" s="115"/>
      <c r="P32" s="138" t="s">
        <v>87</v>
      </c>
      <c r="Q32" s="139">
        <f t="shared" si="2"/>
        <v>1.5184381778741864</v>
      </c>
      <c r="R32" s="138" t="s">
        <v>87</v>
      </c>
      <c r="S32" s="140">
        <f t="shared" si="0"/>
        <v>1.5332197614991483</v>
      </c>
      <c r="T32" s="115"/>
      <c r="U32" s="115"/>
      <c r="V32" s="134" t="s">
        <v>87</v>
      </c>
      <c r="W32" s="141">
        <f>(C30/Poblacion!$N$24)*1000</f>
        <v>8.0338088453344753E-2</v>
      </c>
      <c r="X32" s="134" t="s">
        <v>87</v>
      </c>
      <c r="Y32" s="142">
        <f>(G30/Poblacion!$R$24)*1000</f>
        <v>0.19960020681107549</v>
      </c>
      <c r="Z32" s="122"/>
      <c r="AA32" s="134" t="s">
        <v>87</v>
      </c>
      <c r="AB32" s="141">
        <f t="shared" si="3"/>
        <v>5.3619302949061662</v>
      </c>
      <c r="AC32" s="134" t="s">
        <v>87</v>
      </c>
      <c r="AD32" s="143">
        <f t="shared" si="1"/>
        <v>3.3544303797468351</v>
      </c>
    </row>
    <row r="33" spans="1:30" x14ac:dyDescent="0.25">
      <c r="A33" s="111" t="s">
        <v>90</v>
      </c>
      <c r="B33" s="24">
        <v>28</v>
      </c>
      <c r="C33" s="24">
        <v>41</v>
      </c>
      <c r="E33" s="111" t="s">
        <v>90</v>
      </c>
      <c r="F33" s="24">
        <v>190</v>
      </c>
      <c r="G33" s="24">
        <v>136</v>
      </c>
      <c r="H33" s="4"/>
      <c r="K33" s="134" t="s">
        <v>88</v>
      </c>
      <c r="L33" s="135">
        <f>(B31/Poblacion!$M$24)*1000</f>
        <v>1.2568153660995687E-2</v>
      </c>
      <c r="M33" s="136" t="s">
        <v>88</v>
      </c>
      <c r="N33" s="137">
        <f>(F31/Poblacion!$Q$24)*1000</f>
        <v>3.5683716898487365E-2</v>
      </c>
      <c r="O33" s="115"/>
      <c r="P33" s="138" t="s">
        <v>88</v>
      </c>
      <c r="Q33" s="139">
        <f t="shared" si="2"/>
        <v>0.65075921908893708</v>
      </c>
      <c r="R33" s="138" t="s">
        <v>88</v>
      </c>
      <c r="S33" s="140">
        <f t="shared" si="0"/>
        <v>0.38330494037478707</v>
      </c>
      <c r="T33" s="115"/>
      <c r="U33" s="115"/>
      <c r="V33" s="134" t="s">
        <v>88</v>
      </c>
      <c r="W33" s="141">
        <f>(C31/Poblacion!$N$24)*1000</f>
        <v>8.0338088453344742E-3</v>
      </c>
      <c r="X33" s="134" t="s">
        <v>88</v>
      </c>
      <c r="Y33" s="142">
        <f>(G31/Poblacion!$R$24)*1000</f>
        <v>3.3894374741503384E-2</v>
      </c>
      <c r="Z33" s="122"/>
      <c r="AA33" s="134" t="s">
        <v>88</v>
      </c>
      <c r="AB33" s="141">
        <f t="shared" si="3"/>
        <v>0.53619302949061665</v>
      </c>
      <c r="AC33" s="134" t="s">
        <v>88</v>
      </c>
      <c r="AD33" s="143">
        <f t="shared" si="1"/>
        <v>0.569620253164557</v>
      </c>
    </row>
    <row r="34" spans="1:30" x14ac:dyDescent="0.25">
      <c r="A34" s="111" t="s">
        <v>91</v>
      </c>
      <c r="B34" s="24">
        <v>49</v>
      </c>
      <c r="C34" s="24">
        <v>25</v>
      </c>
      <c r="E34" s="111" t="s">
        <v>91</v>
      </c>
      <c r="F34" s="24">
        <v>191</v>
      </c>
      <c r="G34" s="24">
        <v>99</v>
      </c>
      <c r="H34" s="4"/>
      <c r="K34" s="134" t="s">
        <v>89</v>
      </c>
      <c r="L34" s="135">
        <v>0</v>
      </c>
      <c r="M34" s="136" t="s">
        <v>89</v>
      </c>
      <c r="N34" s="137">
        <v>0</v>
      </c>
      <c r="O34" s="115"/>
      <c r="P34" s="138" t="s">
        <v>89</v>
      </c>
      <c r="Q34" s="139">
        <v>0</v>
      </c>
      <c r="R34" s="138" t="s">
        <v>89</v>
      </c>
      <c r="S34" s="140">
        <v>0</v>
      </c>
      <c r="T34" s="115"/>
      <c r="U34" s="115"/>
      <c r="V34" s="134" t="s">
        <v>89</v>
      </c>
      <c r="W34" s="141">
        <f>(C32/Poblacion!$N$24)*1000</f>
        <v>8.0338088453344742E-3</v>
      </c>
      <c r="X34" s="134" t="s">
        <v>89</v>
      </c>
      <c r="Y34" s="142">
        <v>0</v>
      </c>
      <c r="Z34" s="122"/>
      <c r="AA34" s="134" t="s">
        <v>89</v>
      </c>
      <c r="AB34" s="141">
        <f t="shared" si="3"/>
        <v>0.53619302949061665</v>
      </c>
      <c r="AC34" s="134" t="s">
        <v>89</v>
      </c>
      <c r="AD34" s="143">
        <v>0</v>
      </c>
    </row>
    <row r="35" spans="1:30" x14ac:dyDescent="0.25">
      <c r="A35" s="111" t="s">
        <v>92</v>
      </c>
      <c r="B35" s="24" t="s">
        <v>54</v>
      </c>
      <c r="C35" s="24" t="s">
        <v>54</v>
      </c>
      <c r="E35" s="111" t="s">
        <v>92</v>
      </c>
      <c r="F35" s="24">
        <v>6</v>
      </c>
      <c r="G35" s="24">
        <v>11</v>
      </c>
      <c r="H35" s="4"/>
      <c r="K35" s="134" t="s">
        <v>90</v>
      </c>
      <c r="L35" s="135">
        <f>(B33/Poblacion!$M$24)*1000</f>
        <v>0.11730276750262641</v>
      </c>
      <c r="M35" s="136" t="s">
        <v>90</v>
      </c>
      <c r="N35" s="137">
        <f>(F33/Poblacion!$Q$24)*1000</f>
        <v>0.75332291230139969</v>
      </c>
      <c r="O35" s="115"/>
      <c r="P35" s="138" t="s">
        <v>90</v>
      </c>
      <c r="Q35" s="139">
        <f t="shared" si="2"/>
        <v>6.0737527114967458</v>
      </c>
      <c r="R35" s="138" t="s">
        <v>90</v>
      </c>
      <c r="S35" s="140">
        <f t="shared" si="0"/>
        <v>8.0919931856899474</v>
      </c>
      <c r="T35" s="115"/>
      <c r="U35" s="115"/>
      <c r="V35" s="134" t="s">
        <v>90</v>
      </c>
      <c r="W35" s="141">
        <f>(C33/Poblacion!$N$24)*1000</f>
        <v>0.16469308132935673</v>
      </c>
      <c r="X35" s="134" t="s">
        <v>90</v>
      </c>
      <c r="Y35" s="142">
        <f>(G33/Poblacion!$R$24)*1000</f>
        <v>0.51218166276049559</v>
      </c>
      <c r="Z35" s="122"/>
      <c r="AA35" s="134" t="s">
        <v>90</v>
      </c>
      <c r="AB35" s="141">
        <f t="shared" si="3"/>
        <v>10.991957104557642</v>
      </c>
      <c r="AC35" s="134" t="s">
        <v>90</v>
      </c>
      <c r="AD35" s="143">
        <f t="shared" si="1"/>
        <v>8.6075949367088604</v>
      </c>
    </row>
    <row r="36" spans="1:30" x14ac:dyDescent="0.25">
      <c r="A36" s="111" t="s">
        <v>93</v>
      </c>
      <c r="B36" s="24">
        <v>1</v>
      </c>
      <c r="C36" s="24">
        <v>6</v>
      </c>
      <c r="E36" s="111" t="s">
        <v>93</v>
      </c>
      <c r="F36" s="24">
        <v>4</v>
      </c>
      <c r="G36" s="24">
        <v>18</v>
      </c>
      <c r="H36" s="4"/>
      <c r="K36" s="134" t="s">
        <v>91</v>
      </c>
      <c r="L36" s="135">
        <f>(B34/Poblacion!$M$24)*1000</f>
        <v>0.20527984312959621</v>
      </c>
      <c r="M36" s="136" t="s">
        <v>91</v>
      </c>
      <c r="N36" s="137">
        <f>(F34/Poblacion!$Q$24)*1000</f>
        <v>0.75728776973456513</v>
      </c>
      <c r="O36" s="115"/>
      <c r="P36" s="138" t="s">
        <v>91</v>
      </c>
      <c r="Q36" s="139">
        <f t="shared" si="2"/>
        <v>10.629067245119305</v>
      </c>
      <c r="R36" s="138" t="s">
        <v>91</v>
      </c>
      <c r="S36" s="140">
        <f t="shared" si="0"/>
        <v>8.1345826235093686</v>
      </c>
      <c r="T36" s="115"/>
      <c r="U36" s="115"/>
      <c r="V36" s="134" t="s">
        <v>91</v>
      </c>
      <c r="W36" s="141">
        <f>(C34/Poblacion!$N$24)*1000</f>
        <v>0.10042261056668093</v>
      </c>
      <c r="X36" s="134" t="s">
        <v>91</v>
      </c>
      <c r="Y36" s="142">
        <f>(G34/Poblacion!$R$24)*1000</f>
        <v>0.37283812215653722</v>
      </c>
      <c r="Z36" s="122"/>
      <c r="AA36" s="134" t="s">
        <v>91</v>
      </c>
      <c r="AB36" s="141">
        <f t="shared" si="3"/>
        <v>6.7024128686327078</v>
      </c>
      <c r="AC36" s="134" t="s">
        <v>91</v>
      </c>
      <c r="AD36" s="143">
        <f t="shared" si="1"/>
        <v>6.2658227848101262</v>
      </c>
    </row>
    <row r="37" spans="1:30" x14ac:dyDescent="0.25">
      <c r="A37" s="111" t="s">
        <v>94</v>
      </c>
      <c r="B37" s="24">
        <v>10</v>
      </c>
      <c r="C37" s="24">
        <v>12</v>
      </c>
      <c r="E37" s="111" t="s">
        <v>94</v>
      </c>
      <c r="F37" s="24">
        <v>67</v>
      </c>
      <c r="G37" s="24">
        <v>34</v>
      </c>
      <c r="H37" s="4"/>
      <c r="K37" s="134" t="s">
        <v>92</v>
      </c>
      <c r="L37" s="135">
        <v>0</v>
      </c>
      <c r="M37" s="136" t="s">
        <v>92</v>
      </c>
      <c r="N37" s="137">
        <f>(F35/Poblacion!$Q$24)*1000</f>
        <v>2.3789144598991573E-2</v>
      </c>
      <c r="O37" s="115"/>
      <c r="P37" s="138" t="s">
        <v>92</v>
      </c>
      <c r="Q37" s="139">
        <v>0</v>
      </c>
      <c r="R37" s="138" t="s">
        <v>92</v>
      </c>
      <c r="S37" s="140">
        <f t="shared" si="0"/>
        <v>0.25553662691652468</v>
      </c>
      <c r="T37" s="115"/>
      <c r="U37" s="115"/>
      <c r="V37" s="134" t="s">
        <v>92</v>
      </c>
      <c r="W37" s="141">
        <v>0</v>
      </c>
      <c r="X37" s="134" t="s">
        <v>92</v>
      </c>
      <c r="Y37" s="142">
        <f>(G35/Poblacion!$R$24)*1000</f>
        <v>4.1426458017393024E-2</v>
      </c>
      <c r="Z37" s="122"/>
      <c r="AA37" s="134" t="s">
        <v>92</v>
      </c>
      <c r="AB37" s="141">
        <v>0</v>
      </c>
      <c r="AC37" s="134" t="s">
        <v>92</v>
      </c>
      <c r="AD37" s="143">
        <f t="shared" si="1"/>
        <v>0.69620253164556956</v>
      </c>
    </row>
    <row r="38" spans="1:30" x14ac:dyDescent="0.25">
      <c r="A38" s="111" t="s">
        <v>95</v>
      </c>
      <c r="B38" s="24">
        <v>4</v>
      </c>
      <c r="C38" s="24" t="s">
        <v>54</v>
      </c>
      <c r="E38" s="111" t="s">
        <v>95</v>
      </c>
      <c r="F38" s="24">
        <v>3</v>
      </c>
      <c r="G38" s="24" t="s">
        <v>54</v>
      </c>
      <c r="H38" s="4"/>
      <c r="K38" s="134" t="s">
        <v>93</v>
      </c>
      <c r="L38" s="135">
        <f>(B36/Poblacion!$M$24)*1000</f>
        <v>4.1893845536652291E-3</v>
      </c>
      <c r="M38" s="136" t="s">
        <v>93</v>
      </c>
      <c r="N38" s="137">
        <f>(F36/Poblacion!$Q$24)*1000</f>
        <v>1.5859429732661048E-2</v>
      </c>
      <c r="O38" s="115"/>
      <c r="P38" s="138" t="s">
        <v>93</v>
      </c>
      <c r="Q38" s="139">
        <f t="shared" si="2"/>
        <v>0.21691973969631237</v>
      </c>
      <c r="R38" s="138" t="s">
        <v>93</v>
      </c>
      <c r="S38" s="140">
        <f t="shared" si="0"/>
        <v>0.17035775127768313</v>
      </c>
      <c r="T38" s="115"/>
      <c r="U38" s="115"/>
      <c r="V38" s="134" t="s">
        <v>93</v>
      </c>
      <c r="W38" s="141">
        <f>(C36/Poblacion!$N$24)*1000</f>
        <v>2.4101426536003424E-2</v>
      </c>
      <c r="X38" s="134" t="s">
        <v>93</v>
      </c>
      <c r="Y38" s="142">
        <f>(G36/Poblacion!$R$24)*1000</f>
        <v>6.7788749483006769E-2</v>
      </c>
      <c r="Z38" s="122"/>
      <c r="AA38" s="134" t="s">
        <v>93</v>
      </c>
      <c r="AB38" s="141">
        <f t="shared" si="3"/>
        <v>1.6085790884718498</v>
      </c>
      <c r="AC38" s="134" t="s">
        <v>93</v>
      </c>
      <c r="AD38" s="143">
        <f t="shared" si="1"/>
        <v>1.139240506329114</v>
      </c>
    </row>
    <row r="39" spans="1:30" x14ac:dyDescent="0.25">
      <c r="A39" s="111" t="s">
        <v>96</v>
      </c>
      <c r="B39" s="24" t="s">
        <v>54</v>
      </c>
      <c r="C39" s="24" t="s">
        <v>54</v>
      </c>
      <c r="E39" s="111" t="s">
        <v>96</v>
      </c>
      <c r="F39" s="24" t="s">
        <v>54</v>
      </c>
      <c r="G39" s="24">
        <v>3</v>
      </c>
      <c r="H39" s="4"/>
      <c r="K39" s="134" t="s">
        <v>94</v>
      </c>
      <c r="L39" s="135">
        <f>(B37/Poblacion!$M$24)*1000</f>
        <v>4.1893845536652291E-2</v>
      </c>
      <c r="M39" s="136" t="s">
        <v>94</v>
      </c>
      <c r="N39" s="137">
        <f>(F37/Poblacion!$Q$24)*1000</f>
        <v>0.26564544802207257</v>
      </c>
      <c r="O39" s="115"/>
      <c r="P39" s="138" t="s">
        <v>94</v>
      </c>
      <c r="Q39" s="139">
        <f t="shared" si="2"/>
        <v>2.1691973969631237</v>
      </c>
      <c r="R39" s="138" t="s">
        <v>94</v>
      </c>
      <c r="S39" s="140">
        <f t="shared" si="0"/>
        <v>2.8534923339011926</v>
      </c>
      <c r="T39" s="115"/>
      <c r="U39" s="115"/>
      <c r="V39" s="134" t="s">
        <v>94</v>
      </c>
      <c r="W39" s="141">
        <f>(C37/Poblacion!$N$24)*1000</f>
        <v>4.8202853072006849E-2</v>
      </c>
      <c r="X39" s="134" t="s">
        <v>94</v>
      </c>
      <c r="Y39" s="142">
        <f>(G37/Poblacion!$R$24)*1000</f>
        <v>0.1280454156901239</v>
      </c>
      <c r="Z39" s="122"/>
      <c r="AA39" s="134" t="s">
        <v>94</v>
      </c>
      <c r="AB39" s="141">
        <f t="shared" si="3"/>
        <v>3.2171581769436997</v>
      </c>
      <c r="AC39" s="134" t="s">
        <v>94</v>
      </c>
      <c r="AD39" s="143">
        <f t="shared" si="1"/>
        <v>2.1518987341772151</v>
      </c>
    </row>
    <row r="40" spans="1:30" x14ac:dyDescent="0.25">
      <c r="A40" s="111" t="s">
        <v>97</v>
      </c>
      <c r="B40" s="24" t="s">
        <v>54</v>
      </c>
      <c r="C40" s="24">
        <v>1</v>
      </c>
      <c r="E40" s="111" t="s">
        <v>97</v>
      </c>
      <c r="F40" s="24" t="s">
        <v>54</v>
      </c>
      <c r="G40" s="24">
        <v>2</v>
      </c>
      <c r="H40" s="4"/>
      <c r="K40" s="134" t="s">
        <v>95</v>
      </c>
      <c r="L40" s="135">
        <f>(B38/Poblacion!$M$24)*1000</f>
        <v>1.6757538214660916E-2</v>
      </c>
      <c r="M40" s="136" t="s">
        <v>95</v>
      </c>
      <c r="N40" s="137">
        <f>(F38/Poblacion!$Q$24)*1000</f>
        <v>1.1894572299495787E-2</v>
      </c>
      <c r="O40" s="115"/>
      <c r="P40" s="138" t="s">
        <v>95</v>
      </c>
      <c r="Q40" s="139">
        <f t="shared" si="2"/>
        <v>0.86767895878524948</v>
      </c>
      <c r="R40" s="138" t="s">
        <v>95</v>
      </c>
      <c r="S40" s="140">
        <f t="shared" si="0"/>
        <v>0.12776831345826234</v>
      </c>
      <c r="T40" s="115"/>
      <c r="U40" s="115"/>
      <c r="V40" s="134" t="s">
        <v>95</v>
      </c>
      <c r="W40" s="141">
        <v>0</v>
      </c>
      <c r="X40" s="134" t="s">
        <v>95</v>
      </c>
      <c r="Y40" s="142">
        <v>0</v>
      </c>
      <c r="Z40" s="122"/>
      <c r="AA40" s="134" t="s">
        <v>95</v>
      </c>
      <c r="AB40" s="141">
        <v>0</v>
      </c>
      <c r="AC40" s="134" t="s">
        <v>95</v>
      </c>
      <c r="AD40" s="143">
        <v>0</v>
      </c>
    </row>
    <row r="41" spans="1:30" x14ac:dyDescent="0.25">
      <c r="A41" s="111" t="s">
        <v>98</v>
      </c>
      <c r="B41" s="24">
        <v>3</v>
      </c>
      <c r="C41" s="24">
        <v>6</v>
      </c>
      <c r="E41" s="111" t="s">
        <v>98</v>
      </c>
      <c r="F41" s="24">
        <v>14</v>
      </c>
      <c r="G41" s="24">
        <v>6</v>
      </c>
      <c r="H41" s="4"/>
      <c r="K41" s="134" t="s">
        <v>96</v>
      </c>
      <c r="L41" s="135">
        <v>0</v>
      </c>
      <c r="M41" s="136" t="s">
        <v>96</v>
      </c>
      <c r="N41" s="137">
        <v>0</v>
      </c>
      <c r="O41" s="115"/>
      <c r="P41" s="138" t="s">
        <v>96</v>
      </c>
      <c r="Q41" s="139">
        <v>0</v>
      </c>
      <c r="R41" s="138" t="s">
        <v>96</v>
      </c>
      <c r="S41" s="140">
        <v>0</v>
      </c>
      <c r="T41" s="115"/>
      <c r="U41" s="115"/>
      <c r="V41" s="134" t="s">
        <v>96</v>
      </c>
      <c r="W41" s="141">
        <v>0</v>
      </c>
      <c r="X41" s="134" t="s">
        <v>96</v>
      </c>
      <c r="Y41" s="142">
        <f>(G39/Poblacion!$R$24)*1000</f>
        <v>1.1298124913834461E-2</v>
      </c>
      <c r="Z41" s="122"/>
      <c r="AA41" s="134" t="s">
        <v>96</v>
      </c>
      <c r="AB41" s="141">
        <v>0</v>
      </c>
      <c r="AC41" s="134" t="s">
        <v>96</v>
      </c>
      <c r="AD41" s="143">
        <f t="shared" si="1"/>
        <v>0.18987341772151897</v>
      </c>
    </row>
    <row r="42" spans="1:30" x14ac:dyDescent="0.25">
      <c r="A42" s="111" t="s">
        <v>99</v>
      </c>
      <c r="B42" s="24">
        <v>8</v>
      </c>
      <c r="C42" s="24">
        <v>1</v>
      </c>
      <c r="E42" s="111" t="s">
        <v>99</v>
      </c>
      <c r="F42" s="24">
        <v>8</v>
      </c>
      <c r="G42" s="24">
        <v>15</v>
      </c>
      <c r="H42" s="4"/>
      <c r="K42" s="134" t="s">
        <v>97</v>
      </c>
      <c r="L42" s="135">
        <v>0</v>
      </c>
      <c r="M42" s="136" t="s">
        <v>97</v>
      </c>
      <c r="N42" s="137">
        <v>0</v>
      </c>
      <c r="O42" s="115"/>
      <c r="P42" s="138" t="s">
        <v>97</v>
      </c>
      <c r="Q42" s="139">
        <v>0</v>
      </c>
      <c r="R42" s="138" t="s">
        <v>97</v>
      </c>
      <c r="S42" s="140">
        <v>0</v>
      </c>
      <c r="T42" s="115"/>
      <c r="U42" s="115"/>
      <c r="V42" s="134" t="s">
        <v>97</v>
      </c>
      <c r="W42" s="141">
        <f>(C40/Poblacion!$N$24)*1000</f>
        <v>4.0169044226672371E-3</v>
      </c>
      <c r="X42" s="134" t="s">
        <v>97</v>
      </c>
      <c r="Y42" s="142">
        <f>(G40/Poblacion!$R$24)*1000</f>
        <v>7.5320832758896412E-3</v>
      </c>
      <c r="Z42" s="122"/>
      <c r="AA42" s="134" t="s">
        <v>97</v>
      </c>
      <c r="AB42" s="141">
        <f t="shared" si="3"/>
        <v>0.26809651474530832</v>
      </c>
      <c r="AC42" s="134" t="s">
        <v>97</v>
      </c>
      <c r="AD42" s="143">
        <f t="shared" si="1"/>
        <v>0.12658227848101267</v>
      </c>
    </row>
    <row r="43" spans="1:30" x14ac:dyDescent="0.25">
      <c r="A43" s="111" t="s">
        <v>100</v>
      </c>
      <c r="B43" s="24">
        <v>3</v>
      </c>
      <c r="C43" s="24">
        <v>1</v>
      </c>
      <c r="E43" s="111" t="s">
        <v>100</v>
      </c>
      <c r="F43" s="24" t="s">
        <v>54</v>
      </c>
      <c r="G43" s="24">
        <v>1</v>
      </c>
      <c r="H43" s="4"/>
      <c r="K43" s="134" t="s">
        <v>98</v>
      </c>
      <c r="L43" s="135">
        <f>(B41/Poblacion!$M$24)*1000</f>
        <v>1.2568153660995687E-2</v>
      </c>
      <c r="M43" s="136" t="s">
        <v>98</v>
      </c>
      <c r="N43" s="137">
        <f>(F41/Poblacion!$Q$24)*1000</f>
        <v>5.5508004064313672E-2</v>
      </c>
      <c r="O43" s="115"/>
      <c r="P43" s="138" t="s">
        <v>98</v>
      </c>
      <c r="Q43" s="139">
        <f t="shared" si="2"/>
        <v>0.65075921908893708</v>
      </c>
      <c r="R43" s="138" t="s">
        <v>98</v>
      </c>
      <c r="S43" s="140">
        <f>(F41/$F$53)*100</f>
        <v>0.59625212947189099</v>
      </c>
      <c r="T43" s="115"/>
      <c r="U43" s="115"/>
      <c r="V43" s="134" t="s">
        <v>98</v>
      </c>
      <c r="W43" s="141">
        <f>(C41/Poblacion!$N$24)*1000</f>
        <v>2.4101426536003424E-2</v>
      </c>
      <c r="X43" s="134" t="s">
        <v>98</v>
      </c>
      <c r="Y43" s="142">
        <f>(G41/Poblacion!$R$24)*1000</f>
        <v>2.2596249827668922E-2</v>
      </c>
      <c r="Z43" s="122"/>
      <c r="AA43" s="134" t="s">
        <v>98</v>
      </c>
      <c r="AB43" s="141">
        <f t="shared" si="3"/>
        <v>1.6085790884718498</v>
      </c>
      <c r="AC43" s="134" t="s">
        <v>98</v>
      </c>
      <c r="AD43" s="143">
        <f t="shared" si="1"/>
        <v>0.37974683544303794</v>
      </c>
    </row>
    <row r="44" spans="1:30" x14ac:dyDescent="0.25">
      <c r="A44" s="111" t="s">
        <v>101</v>
      </c>
      <c r="B44" s="24">
        <v>21</v>
      </c>
      <c r="C44" s="24">
        <v>5</v>
      </c>
      <c r="E44" s="111" t="s">
        <v>101</v>
      </c>
      <c r="F44" s="24">
        <v>10</v>
      </c>
      <c r="G44" s="24">
        <v>2</v>
      </c>
      <c r="H44" s="4"/>
      <c r="K44" s="134" t="s">
        <v>99</v>
      </c>
      <c r="L44" s="135">
        <f>(B42/Poblacion!$M$24)*1000</f>
        <v>3.3515076429321833E-2</v>
      </c>
      <c r="M44" s="136" t="s">
        <v>99</v>
      </c>
      <c r="N44" s="137">
        <f>(F42/Poblacion!$Q$24)*1000</f>
        <v>3.1718859465322095E-2</v>
      </c>
      <c r="O44" s="115"/>
      <c r="P44" s="138" t="s">
        <v>99</v>
      </c>
      <c r="Q44" s="139">
        <f t="shared" si="2"/>
        <v>1.735357917570499</v>
      </c>
      <c r="R44" s="138" t="s">
        <v>99</v>
      </c>
      <c r="S44" s="140">
        <f t="shared" si="0"/>
        <v>0.34071550255536626</v>
      </c>
      <c r="T44" s="115"/>
      <c r="U44" s="115"/>
      <c r="V44" s="134" t="s">
        <v>99</v>
      </c>
      <c r="W44" s="141">
        <f>(C42/Poblacion!$N$24)*1000</f>
        <v>4.0169044226672371E-3</v>
      </c>
      <c r="X44" s="134" t="s">
        <v>99</v>
      </c>
      <c r="Y44" s="142">
        <f>(G42/Poblacion!$R$24)*1000</f>
        <v>5.6490624569172303E-2</v>
      </c>
      <c r="Z44" s="122"/>
      <c r="AA44" s="134" t="s">
        <v>99</v>
      </c>
      <c r="AB44" s="141">
        <f t="shared" si="3"/>
        <v>0.26809651474530832</v>
      </c>
      <c r="AC44" s="134" t="s">
        <v>99</v>
      </c>
      <c r="AD44" s="143">
        <f t="shared" si="1"/>
        <v>0.949367088607595</v>
      </c>
    </row>
    <row r="45" spans="1:30" x14ac:dyDescent="0.25">
      <c r="A45" s="111" t="s">
        <v>102</v>
      </c>
      <c r="B45" s="24">
        <v>1</v>
      </c>
      <c r="C45" s="24" t="s">
        <v>54</v>
      </c>
      <c r="E45" s="111" t="s">
        <v>102</v>
      </c>
      <c r="F45" s="24">
        <v>1</v>
      </c>
      <c r="G45" s="24" t="s">
        <v>54</v>
      </c>
      <c r="H45" s="4"/>
      <c r="K45" s="134" t="s">
        <v>100</v>
      </c>
      <c r="L45" s="135">
        <f>(B43/Poblacion!$M$24)*1000</f>
        <v>1.2568153660995687E-2</v>
      </c>
      <c r="M45" s="136" t="s">
        <v>100</v>
      </c>
      <c r="N45" s="137">
        <v>0</v>
      </c>
      <c r="O45" s="115"/>
      <c r="P45" s="138" t="s">
        <v>100</v>
      </c>
      <c r="Q45" s="139">
        <f t="shared" si="2"/>
        <v>0.65075921908893708</v>
      </c>
      <c r="R45" s="138" t="s">
        <v>100</v>
      </c>
      <c r="S45" s="140">
        <v>0</v>
      </c>
      <c r="T45" s="115"/>
      <c r="U45" s="115"/>
      <c r="V45" s="134" t="s">
        <v>100</v>
      </c>
      <c r="W45" s="141">
        <f>(C43/Poblacion!$N$24)*1000</f>
        <v>4.0169044226672371E-3</v>
      </c>
      <c r="X45" s="134" t="s">
        <v>100</v>
      </c>
      <c r="Y45" s="142">
        <f>(G43/Poblacion!$R$24)*1000</f>
        <v>3.7660416379448206E-3</v>
      </c>
      <c r="Z45" s="122"/>
      <c r="AA45" s="134" t="s">
        <v>100</v>
      </c>
      <c r="AB45" s="141">
        <f t="shared" si="3"/>
        <v>0.26809651474530832</v>
      </c>
      <c r="AC45" s="134" t="s">
        <v>100</v>
      </c>
      <c r="AD45" s="143">
        <f t="shared" si="1"/>
        <v>6.3291139240506333E-2</v>
      </c>
    </row>
    <row r="46" spans="1:30" x14ac:dyDescent="0.25">
      <c r="A46" s="111" t="s">
        <v>103</v>
      </c>
      <c r="B46" s="24">
        <v>16</v>
      </c>
      <c r="C46" s="24">
        <v>2</v>
      </c>
      <c r="E46" s="111" t="s">
        <v>103</v>
      </c>
      <c r="F46" s="24">
        <v>27</v>
      </c>
      <c r="G46" s="24">
        <v>13</v>
      </c>
      <c r="H46" s="4"/>
      <c r="K46" s="134" t="s">
        <v>101</v>
      </c>
      <c r="L46" s="135">
        <f>(B44/Poblacion!$M$24)*1000</f>
        <v>8.7977075626969811E-2</v>
      </c>
      <c r="M46" s="136" t="s">
        <v>101</v>
      </c>
      <c r="N46" s="137">
        <f>(F44/Poblacion!$Q$24)*1000</f>
        <v>3.9648574331652621E-2</v>
      </c>
      <c r="O46" s="115"/>
      <c r="P46" s="138" t="s">
        <v>101</v>
      </c>
      <c r="Q46" s="139">
        <f t="shared" si="2"/>
        <v>4.5553145336225596</v>
      </c>
      <c r="R46" s="138" t="s">
        <v>101</v>
      </c>
      <c r="S46" s="140">
        <f t="shared" si="0"/>
        <v>0.42589437819420783</v>
      </c>
      <c r="T46" s="115"/>
      <c r="U46" s="115"/>
      <c r="V46" s="134" t="s">
        <v>101</v>
      </c>
      <c r="W46" s="141">
        <f>(C44/Poblacion!$N$24)*1000</f>
        <v>2.0084522113336188E-2</v>
      </c>
      <c r="X46" s="134" t="s">
        <v>101</v>
      </c>
      <c r="Y46" s="142">
        <f>(G44/Poblacion!$R$24)*1000</f>
        <v>7.5320832758896412E-3</v>
      </c>
      <c r="Z46" s="122"/>
      <c r="AA46" s="134" t="s">
        <v>101</v>
      </c>
      <c r="AB46" s="141">
        <f t="shared" si="3"/>
        <v>1.3404825737265416</v>
      </c>
      <c r="AC46" s="134" t="s">
        <v>101</v>
      </c>
      <c r="AD46" s="143">
        <f t="shared" si="1"/>
        <v>0.12658227848101267</v>
      </c>
    </row>
    <row r="47" spans="1:30" x14ac:dyDescent="0.25">
      <c r="A47" s="111" t="s">
        <v>104</v>
      </c>
      <c r="B47" s="24">
        <v>1</v>
      </c>
      <c r="C47" s="24" t="s">
        <v>54</v>
      </c>
      <c r="E47" s="111" t="s">
        <v>104</v>
      </c>
      <c r="F47" s="24">
        <v>1</v>
      </c>
      <c r="G47" s="24" t="s">
        <v>54</v>
      </c>
      <c r="H47" s="4"/>
      <c r="K47" s="134" t="s">
        <v>102</v>
      </c>
      <c r="L47" s="135">
        <f>(B45/Poblacion!$M$24)*1000</f>
        <v>4.1893845536652291E-3</v>
      </c>
      <c r="M47" s="136" t="s">
        <v>102</v>
      </c>
      <c r="N47" s="137">
        <f>(F45/Poblacion!$Q$24)*1000</f>
        <v>3.9648574331652619E-3</v>
      </c>
      <c r="O47" s="115"/>
      <c r="P47" s="138" t="s">
        <v>102</v>
      </c>
      <c r="Q47" s="139">
        <f t="shared" si="2"/>
        <v>0.21691973969631237</v>
      </c>
      <c r="R47" s="138" t="s">
        <v>102</v>
      </c>
      <c r="S47" s="140">
        <f t="shared" si="0"/>
        <v>4.2589437819420782E-2</v>
      </c>
      <c r="T47" s="115"/>
      <c r="U47" s="115"/>
      <c r="V47" s="134" t="s">
        <v>102</v>
      </c>
      <c r="W47" s="141">
        <v>0</v>
      </c>
      <c r="X47" s="134" t="s">
        <v>102</v>
      </c>
      <c r="Y47" s="142">
        <v>0</v>
      </c>
      <c r="Z47" s="122"/>
      <c r="AA47" s="134" t="s">
        <v>102</v>
      </c>
      <c r="AB47" s="141">
        <v>0</v>
      </c>
      <c r="AC47" s="134" t="s">
        <v>102</v>
      </c>
      <c r="AD47" s="143">
        <v>0</v>
      </c>
    </row>
    <row r="48" spans="1:30" x14ac:dyDescent="0.25">
      <c r="A48" s="111" t="s">
        <v>105</v>
      </c>
      <c r="B48" s="24">
        <v>2</v>
      </c>
      <c r="C48" s="24" t="s">
        <v>54</v>
      </c>
      <c r="E48" s="111" t="s">
        <v>105</v>
      </c>
      <c r="F48" s="24">
        <v>2</v>
      </c>
      <c r="G48" s="24">
        <v>1</v>
      </c>
      <c r="H48" s="4"/>
      <c r="K48" s="134" t="s">
        <v>103</v>
      </c>
      <c r="L48" s="135">
        <f>(B46/Poblacion!$M$24)*1000</f>
        <v>6.7030152858643666E-2</v>
      </c>
      <c r="M48" s="136" t="s">
        <v>103</v>
      </c>
      <c r="N48" s="137">
        <f>(F46/Poblacion!$Q$24)*1000</f>
        <v>0.10705115069546207</v>
      </c>
      <c r="O48" s="115"/>
      <c r="P48" s="138" t="s">
        <v>103</v>
      </c>
      <c r="Q48" s="139">
        <f t="shared" si="2"/>
        <v>3.4707158351409979</v>
      </c>
      <c r="R48" s="138" t="s">
        <v>103</v>
      </c>
      <c r="S48" s="140">
        <f t="shared" si="0"/>
        <v>1.1499148211243613</v>
      </c>
      <c r="T48" s="115"/>
      <c r="U48" s="115"/>
      <c r="V48" s="134" t="s">
        <v>103</v>
      </c>
      <c r="W48" s="141">
        <f>(C46/Poblacion!$N$24)*1000</f>
        <v>8.0338088453344742E-3</v>
      </c>
      <c r="X48" s="134" t="s">
        <v>103</v>
      </c>
      <c r="Y48" s="142">
        <f>(G46/Poblacion!$R$24)*1000</f>
        <v>4.8958541293282663E-2</v>
      </c>
      <c r="Z48" s="122"/>
      <c r="AA48" s="134" t="s">
        <v>103</v>
      </c>
      <c r="AB48" s="141">
        <f t="shared" si="3"/>
        <v>0.53619302949061665</v>
      </c>
      <c r="AC48" s="134" t="s">
        <v>103</v>
      </c>
      <c r="AD48" s="143">
        <f t="shared" si="1"/>
        <v>0.82278481012658233</v>
      </c>
    </row>
    <row r="49" spans="1:30" x14ac:dyDescent="0.25">
      <c r="A49" s="111" t="s">
        <v>106</v>
      </c>
      <c r="B49" s="24">
        <v>9</v>
      </c>
      <c r="C49" s="24">
        <v>4</v>
      </c>
      <c r="E49" s="111" t="s">
        <v>106</v>
      </c>
      <c r="F49" s="24">
        <v>21</v>
      </c>
      <c r="G49" s="24">
        <v>3</v>
      </c>
      <c r="H49" s="4"/>
      <c r="K49" s="134" t="s">
        <v>104</v>
      </c>
      <c r="L49" s="135">
        <f>(B47/Poblacion!$M$24)*1000</f>
        <v>4.1893845536652291E-3</v>
      </c>
      <c r="M49" s="136" t="s">
        <v>104</v>
      </c>
      <c r="N49" s="137">
        <f>(F47/Poblacion!$Q$24)*1000</f>
        <v>3.9648574331652619E-3</v>
      </c>
      <c r="O49" s="115"/>
      <c r="P49" s="138" t="s">
        <v>104</v>
      </c>
      <c r="Q49" s="139">
        <f t="shared" si="2"/>
        <v>0.21691973969631237</v>
      </c>
      <c r="R49" s="138" t="s">
        <v>104</v>
      </c>
      <c r="S49" s="140">
        <f t="shared" si="0"/>
        <v>4.2589437819420782E-2</v>
      </c>
      <c r="T49" s="115"/>
      <c r="U49" s="115"/>
      <c r="V49" s="134" t="s">
        <v>104</v>
      </c>
      <c r="W49" s="141">
        <v>0</v>
      </c>
      <c r="X49" s="134" t="s">
        <v>104</v>
      </c>
      <c r="Y49" s="142">
        <v>0</v>
      </c>
      <c r="Z49" s="122"/>
      <c r="AA49" s="134" t="s">
        <v>104</v>
      </c>
      <c r="AB49" s="141">
        <v>0</v>
      </c>
      <c r="AC49" s="134" t="s">
        <v>104</v>
      </c>
      <c r="AD49" s="143">
        <v>0</v>
      </c>
    </row>
    <row r="50" spans="1:30" x14ac:dyDescent="0.25">
      <c r="A50" s="111" t="s">
        <v>107</v>
      </c>
      <c r="B50" s="24">
        <v>43</v>
      </c>
      <c r="C50" s="24">
        <v>10</v>
      </c>
      <c r="E50" s="111" t="s">
        <v>107</v>
      </c>
      <c r="F50" s="24">
        <v>153</v>
      </c>
      <c r="G50" s="24">
        <v>25</v>
      </c>
      <c r="H50" s="4"/>
      <c r="K50" s="134" t="s">
        <v>105</v>
      </c>
      <c r="L50" s="135">
        <f>(B48/Poblacion!$M$24)*1000</f>
        <v>8.3787691073304582E-3</v>
      </c>
      <c r="M50" s="136" t="s">
        <v>105</v>
      </c>
      <c r="N50" s="137">
        <f>(F48/Poblacion!$Q$24)*1000</f>
        <v>7.9297148663305238E-3</v>
      </c>
      <c r="O50" s="115"/>
      <c r="P50" s="138" t="s">
        <v>105</v>
      </c>
      <c r="Q50" s="139">
        <f t="shared" si="2"/>
        <v>0.43383947939262474</v>
      </c>
      <c r="R50" s="138" t="s">
        <v>105</v>
      </c>
      <c r="S50" s="140">
        <f t="shared" si="0"/>
        <v>8.5178875638841564E-2</v>
      </c>
      <c r="T50" s="115"/>
      <c r="U50" s="115"/>
      <c r="V50" s="134" t="s">
        <v>105</v>
      </c>
      <c r="W50" s="141">
        <v>0</v>
      </c>
      <c r="X50" s="134" t="s">
        <v>105</v>
      </c>
      <c r="Y50" s="142">
        <f>(G48/Poblacion!$R$24)*1000</f>
        <v>3.7660416379448206E-3</v>
      </c>
      <c r="Z50" s="122"/>
      <c r="AA50" s="134" t="s">
        <v>105</v>
      </c>
      <c r="AB50" s="141">
        <v>0</v>
      </c>
      <c r="AC50" s="134" t="s">
        <v>105</v>
      </c>
      <c r="AD50" s="143">
        <f t="shared" si="1"/>
        <v>6.3291139240506333E-2</v>
      </c>
    </row>
    <row r="51" spans="1:30" x14ac:dyDescent="0.25">
      <c r="A51" s="111" t="s">
        <v>108</v>
      </c>
      <c r="B51" s="24">
        <v>6</v>
      </c>
      <c r="C51" s="24" t="s">
        <v>54</v>
      </c>
      <c r="E51" s="111" t="s">
        <v>108</v>
      </c>
      <c r="F51" s="24">
        <v>11</v>
      </c>
      <c r="G51" s="24" t="s">
        <v>54</v>
      </c>
      <c r="H51" s="4"/>
      <c r="K51" s="134" t="s">
        <v>106</v>
      </c>
      <c r="L51" s="135">
        <f>(B49/Poblacion!$M$24)*1000</f>
        <v>3.7704460982987062E-2</v>
      </c>
      <c r="M51" s="136" t="s">
        <v>106</v>
      </c>
      <c r="N51" s="137">
        <f>(F49/Poblacion!$Q$24)*1000</f>
        <v>8.3262006096470498E-2</v>
      </c>
      <c r="O51" s="115"/>
      <c r="P51" s="138" t="s">
        <v>106</v>
      </c>
      <c r="Q51" s="139">
        <f t="shared" si="2"/>
        <v>1.9522776572668112</v>
      </c>
      <c r="R51" s="138" t="s">
        <v>106</v>
      </c>
      <c r="S51" s="140">
        <f t="shared" si="0"/>
        <v>0.89437819420783649</v>
      </c>
      <c r="T51" s="115"/>
      <c r="U51" s="115"/>
      <c r="V51" s="134" t="s">
        <v>106</v>
      </c>
      <c r="W51" s="141">
        <f>(C49/Poblacion!$N$24)*1000</f>
        <v>1.6067617690668948E-2</v>
      </c>
      <c r="X51" s="134" t="s">
        <v>106</v>
      </c>
      <c r="Y51" s="142">
        <f>(G49/Poblacion!$R$24)*1000</f>
        <v>1.1298124913834461E-2</v>
      </c>
      <c r="Z51" s="122"/>
      <c r="AA51" s="134" t="s">
        <v>106</v>
      </c>
      <c r="AB51" s="141">
        <f t="shared" si="3"/>
        <v>1.0723860589812333</v>
      </c>
      <c r="AC51" s="134" t="s">
        <v>106</v>
      </c>
      <c r="AD51" s="143">
        <f t="shared" si="1"/>
        <v>0.18987341772151897</v>
      </c>
    </row>
    <row r="52" spans="1:30" x14ac:dyDescent="0.25">
      <c r="A52" s="111" t="s">
        <v>109</v>
      </c>
      <c r="B52" s="24" t="s">
        <v>54</v>
      </c>
      <c r="C52" s="24" t="s">
        <v>54</v>
      </c>
      <c r="E52" s="111" t="s">
        <v>109</v>
      </c>
      <c r="F52" s="24" t="s">
        <v>54</v>
      </c>
      <c r="G52" s="24">
        <v>2</v>
      </c>
      <c r="H52" s="4"/>
      <c r="K52" s="134" t="s">
        <v>107</v>
      </c>
      <c r="L52" s="135">
        <f>(B50/Poblacion!$M$24)*1000</f>
        <v>0.18014353580760484</v>
      </c>
      <c r="M52" s="136" t="s">
        <v>107</v>
      </c>
      <c r="N52" s="137">
        <f>(F50/Poblacion!$Q$24)*1000</f>
        <v>0.6066231872742851</v>
      </c>
      <c r="O52" s="115"/>
      <c r="P52" s="138" t="s">
        <v>107</v>
      </c>
      <c r="Q52" s="139">
        <f t="shared" si="2"/>
        <v>9.3275488069414312</v>
      </c>
      <c r="R52" s="138" t="s">
        <v>107</v>
      </c>
      <c r="S52" s="140">
        <f t="shared" si="0"/>
        <v>6.5161839863713791</v>
      </c>
      <c r="T52" s="115"/>
      <c r="U52" s="115"/>
      <c r="V52" s="134" t="s">
        <v>107</v>
      </c>
      <c r="W52" s="141">
        <f>(C50/Poblacion!$N$24)*1000</f>
        <v>4.0169044226672376E-2</v>
      </c>
      <c r="X52" s="134" t="s">
        <v>107</v>
      </c>
      <c r="Y52" s="142">
        <f>(G50/Poblacion!$R$24)*1000</f>
        <v>9.4151040948620507E-2</v>
      </c>
      <c r="Z52" s="122"/>
      <c r="AA52" s="134" t="s">
        <v>107</v>
      </c>
      <c r="AB52" s="141">
        <f t="shared" si="3"/>
        <v>2.6809651474530831</v>
      </c>
      <c r="AC52" s="134" t="s">
        <v>107</v>
      </c>
      <c r="AD52" s="143">
        <f t="shared" si="1"/>
        <v>1.5822784810126582</v>
      </c>
    </row>
    <row r="53" spans="1:30" x14ac:dyDescent="0.25">
      <c r="A53" s="114" t="s">
        <v>4</v>
      </c>
      <c r="B53" s="35">
        <f>SUM(B6:B52)</f>
        <v>461</v>
      </c>
      <c r="C53" s="35">
        <f>SUM(C6:C52)</f>
        <v>373</v>
      </c>
      <c r="E53" s="114" t="s">
        <v>4</v>
      </c>
      <c r="F53" s="24">
        <f>SUM(F6:F52)</f>
        <v>2348</v>
      </c>
      <c r="G53" s="24">
        <f>SUM(G6:G52)</f>
        <v>1580</v>
      </c>
      <c r="H53" s="4"/>
      <c r="K53" s="134" t="s">
        <v>108</v>
      </c>
      <c r="L53" s="135">
        <f>(B51/Poblacion!$M$24)*1000</f>
        <v>2.5136307321991375E-2</v>
      </c>
      <c r="M53" s="136" t="s">
        <v>108</v>
      </c>
      <c r="N53" s="137">
        <f>(F51/Poblacion!$Q$24)*1000</f>
        <v>4.3613431764817884E-2</v>
      </c>
      <c r="O53" s="115"/>
      <c r="P53" s="138" t="s">
        <v>108</v>
      </c>
      <c r="Q53" s="139">
        <f t="shared" si="2"/>
        <v>1.3015184381778742</v>
      </c>
      <c r="R53" s="138" t="s">
        <v>108</v>
      </c>
      <c r="S53" s="140">
        <f t="shared" si="0"/>
        <v>0.46848381601362865</v>
      </c>
      <c r="T53" s="115"/>
      <c r="U53" s="115"/>
      <c r="V53" s="134" t="s">
        <v>108</v>
      </c>
      <c r="W53" s="141">
        <v>0</v>
      </c>
      <c r="X53" s="134" t="s">
        <v>108</v>
      </c>
      <c r="Y53" s="142">
        <v>0</v>
      </c>
      <c r="Z53" s="122"/>
      <c r="AA53" s="134" t="s">
        <v>108</v>
      </c>
      <c r="AB53" s="141">
        <v>0</v>
      </c>
      <c r="AC53" s="134" t="s">
        <v>108</v>
      </c>
      <c r="AD53" s="143">
        <v>0</v>
      </c>
    </row>
    <row r="54" spans="1:30" x14ac:dyDescent="0.25">
      <c r="A54" s="5"/>
      <c r="H54" s="4"/>
      <c r="K54" s="134" t="s">
        <v>109</v>
      </c>
      <c r="L54" s="135">
        <v>0</v>
      </c>
      <c r="M54" s="136" t="s">
        <v>109</v>
      </c>
      <c r="N54" s="137">
        <v>0</v>
      </c>
      <c r="O54" s="115"/>
      <c r="P54" s="138" t="s">
        <v>109</v>
      </c>
      <c r="Q54" s="139">
        <v>0</v>
      </c>
      <c r="R54" s="138" t="s">
        <v>109</v>
      </c>
      <c r="S54" s="140">
        <v>0</v>
      </c>
      <c r="T54" s="115"/>
      <c r="U54" s="115"/>
      <c r="V54" s="134" t="s">
        <v>109</v>
      </c>
      <c r="W54" s="141">
        <v>0</v>
      </c>
      <c r="X54" s="134" t="s">
        <v>109</v>
      </c>
      <c r="Y54" s="142">
        <f>(G52/Poblacion!$R$24)*1000</f>
        <v>7.5320832758896412E-3</v>
      </c>
      <c r="Z54" s="122"/>
      <c r="AA54" s="134" t="s">
        <v>109</v>
      </c>
      <c r="AB54" s="141">
        <v>0</v>
      </c>
      <c r="AC54" s="134" t="s">
        <v>109</v>
      </c>
      <c r="AD54" s="143">
        <f t="shared" si="1"/>
        <v>0.12658227848101267</v>
      </c>
    </row>
    <row r="55" spans="1:30" x14ac:dyDescent="0.25">
      <c r="A55" s="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</row>
    <row r="56" spans="1:30" x14ac:dyDescent="0.25">
      <c r="A56" s="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</row>
    <row r="57" spans="1:30" x14ac:dyDescent="0.25">
      <c r="A57" s="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</row>
    <row r="58" spans="1:30" x14ac:dyDescent="0.25"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</row>
    <row r="59" spans="1:30" x14ac:dyDescent="0.25"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</row>
    <row r="60" spans="1:30" ht="15.75" thickBot="1" x14ac:dyDescent="0.3"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</row>
    <row r="61" spans="1:30" ht="18" x14ac:dyDescent="0.25">
      <c r="K61" s="191" t="s">
        <v>153</v>
      </c>
      <c r="L61" s="192"/>
      <c r="M61" s="192"/>
      <c r="N61" s="192"/>
      <c r="O61" s="192"/>
      <c r="P61" s="192"/>
      <c r="Q61" s="192"/>
      <c r="R61" s="192"/>
      <c r="S61" s="193"/>
      <c r="T61" s="115"/>
      <c r="U61" s="115"/>
      <c r="V61" s="181" t="s">
        <v>154</v>
      </c>
      <c r="W61" s="182"/>
      <c r="X61" s="182"/>
      <c r="Y61" s="182"/>
      <c r="Z61" s="182"/>
      <c r="AA61" s="182"/>
      <c r="AB61" s="182"/>
      <c r="AC61" s="182"/>
      <c r="AD61" s="183"/>
    </row>
    <row r="62" spans="1:30" ht="15.75" x14ac:dyDescent="0.25">
      <c r="K62" s="184" t="s">
        <v>111</v>
      </c>
      <c r="L62" s="185"/>
      <c r="M62" s="185"/>
      <c r="N62" s="185"/>
      <c r="O62" s="35"/>
      <c r="P62" s="186" t="s">
        <v>112</v>
      </c>
      <c r="Q62" s="186"/>
      <c r="R62" s="186"/>
      <c r="S62" s="187"/>
      <c r="T62" s="115"/>
      <c r="U62" s="115"/>
      <c r="V62" s="194" t="s">
        <v>111</v>
      </c>
      <c r="W62" s="165"/>
      <c r="X62" s="165"/>
      <c r="Y62" s="165"/>
      <c r="Z62" s="116"/>
      <c r="AA62" s="195" t="s">
        <v>112</v>
      </c>
      <c r="AB62" s="195"/>
      <c r="AC62" s="195"/>
      <c r="AD62" s="196"/>
    </row>
    <row r="63" spans="1:30" ht="15.75" x14ac:dyDescent="0.25">
      <c r="J63" s="7"/>
      <c r="K63" s="188">
        <v>2010</v>
      </c>
      <c r="L63" s="189"/>
      <c r="M63" s="189">
        <v>2020</v>
      </c>
      <c r="N63" s="189"/>
      <c r="O63" s="35"/>
      <c r="P63" s="189">
        <v>2010</v>
      </c>
      <c r="Q63" s="189"/>
      <c r="R63" s="189">
        <v>2020</v>
      </c>
      <c r="S63" s="190"/>
      <c r="T63" s="115"/>
      <c r="U63" s="115"/>
      <c r="V63" s="203">
        <v>2010</v>
      </c>
      <c r="W63" s="169"/>
      <c r="X63" s="169">
        <v>2020</v>
      </c>
      <c r="Y63" s="169"/>
      <c r="Z63" s="116"/>
      <c r="AA63" s="169">
        <v>2010</v>
      </c>
      <c r="AB63" s="169"/>
      <c r="AC63" s="169">
        <v>2020</v>
      </c>
      <c r="AD63" s="200"/>
    </row>
    <row r="64" spans="1:30" x14ac:dyDescent="0.25">
      <c r="J64" s="7"/>
      <c r="K64" s="119"/>
      <c r="L64" s="115"/>
      <c r="M64" s="115"/>
      <c r="N64" s="115"/>
      <c r="O64" s="115"/>
      <c r="P64" s="115"/>
      <c r="Q64" s="115"/>
      <c r="R64" s="115"/>
      <c r="S64" s="120"/>
      <c r="T64" s="115"/>
      <c r="U64" s="115"/>
      <c r="V64" s="121"/>
      <c r="W64" s="122"/>
      <c r="X64" s="122"/>
      <c r="Y64" s="122"/>
      <c r="Z64" s="122"/>
      <c r="AA64" s="122"/>
      <c r="AB64" s="122"/>
      <c r="AC64" s="122"/>
      <c r="AD64" s="123"/>
    </row>
    <row r="65" spans="10:30" ht="15.75" x14ac:dyDescent="0.25">
      <c r="J65" s="7"/>
      <c r="K65" s="124" t="s">
        <v>113</v>
      </c>
      <c r="L65" s="125" t="s">
        <v>114</v>
      </c>
      <c r="M65" s="126" t="s">
        <v>113</v>
      </c>
      <c r="N65" s="127" t="s">
        <v>114</v>
      </c>
      <c r="O65" s="115"/>
      <c r="P65" s="128" t="s">
        <v>113</v>
      </c>
      <c r="Q65" s="129" t="s">
        <v>115</v>
      </c>
      <c r="R65" s="128" t="s">
        <v>113</v>
      </c>
      <c r="S65" s="130" t="s">
        <v>115</v>
      </c>
      <c r="T65" s="115"/>
      <c r="U65" s="115"/>
      <c r="V65" s="124" t="s">
        <v>113</v>
      </c>
      <c r="W65" s="129" t="s">
        <v>114</v>
      </c>
      <c r="X65" s="124" t="s">
        <v>113</v>
      </c>
      <c r="Y65" s="131" t="s">
        <v>114</v>
      </c>
      <c r="Z65" s="132"/>
      <c r="AA65" s="124" t="s">
        <v>113</v>
      </c>
      <c r="AB65" s="129" t="s">
        <v>115</v>
      </c>
      <c r="AC65" s="124" t="s">
        <v>113</v>
      </c>
      <c r="AD65" s="133" t="s">
        <v>115</v>
      </c>
    </row>
    <row r="66" spans="10:30" x14ac:dyDescent="0.25">
      <c r="K66" s="134" t="s">
        <v>79</v>
      </c>
      <c r="L66" s="135">
        <v>0.25331538846813523</v>
      </c>
      <c r="M66" s="136" t="s">
        <v>67</v>
      </c>
      <c r="N66" s="137">
        <v>1.6022607045557735</v>
      </c>
      <c r="O66" s="115"/>
      <c r="P66" s="138" t="s">
        <v>79</v>
      </c>
      <c r="Q66" s="139">
        <v>16.702819956616054</v>
      </c>
      <c r="R66" s="138" t="s">
        <v>67</v>
      </c>
      <c r="S66" s="140">
        <v>24.063032367972742</v>
      </c>
      <c r="T66" s="115"/>
      <c r="U66" s="115"/>
      <c r="V66" s="134" t="s">
        <v>79</v>
      </c>
      <c r="W66" s="141">
        <v>0.21953373231816586</v>
      </c>
      <c r="X66" s="134" t="s">
        <v>79</v>
      </c>
      <c r="Y66" s="142">
        <v>0.90850623154534738</v>
      </c>
      <c r="Z66" s="122"/>
      <c r="AA66" s="134" t="s">
        <v>79</v>
      </c>
      <c r="AB66" s="141">
        <v>17.962466487935657</v>
      </c>
      <c r="AC66" s="134" t="s">
        <v>79</v>
      </c>
      <c r="AD66" s="143">
        <v>20.506329113924053</v>
      </c>
    </row>
    <row r="67" spans="10:30" x14ac:dyDescent="0.25">
      <c r="K67" s="134" t="s">
        <v>85</v>
      </c>
      <c r="L67" s="135">
        <v>0.23028671678921384</v>
      </c>
      <c r="M67" s="136" t="s">
        <v>79</v>
      </c>
      <c r="N67" s="137">
        <v>1.131508001978325</v>
      </c>
      <c r="O67" s="115"/>
      <c r="P67" s="138" t="s">
        <v>85</v>
      </c>
      <c r="Q67" s="139">
        <v>15.184381778741866</v>
      </c>
      <c r="R67" s="138" t="s">
        <v>79</v>
      </c>
      <c r="S67" s="140">
        <v>16.993185689948891</v>
      </c>
      <c r="T67" s="115"/>
      <c r="U67" s="115"/>
      <c r="V67" s="134" t="s">
        <v>85</v>
      </c>
      <c r="W67" s="141">
        <v>0.18021425787312123</v>
      </c>
      <c r="X67" s="134" t="s">
        <v>85</v>
      </c>
      <c r="Y67" s="142">
        <v>0.80195303154928799</v>
      </c>
      <c r="Z67" s="122"/>
      <c r="AA67" s="134" t="s">
        <v>85</v>
      </c>
      <c r="AB67" s="141">
        <v>14.745308310991955</v>
      </c>
      <c r="AC67" s="134" t="s">
        <v>85</v>
      </c>
      <c r="AD67" s="143">
        <v>18.101265822784811</v>
      </c>
    </row>
    <row r="68" spans="10:30" x14ac:dyDescent="0.25">
      <c r="K68" s="134" t="s">
        <v>91</v>
      </c>
      <c r="L68" s="135">
        <v>0.16120070175244969</v>
      </c>
      <c r="M68" s="136" t="s">
        <v>85</v>
      </c>
      <c r="N68" s="137">
        <v>1.0974776861293529</v>
      </c>
      <c r="O68" s="115"/>
      <c r="P68" s="138" t="s">
        <v>91</v>
      </c>
      <c r="Q68" s="139">
        <v>10.629067245119305</v>
      </c>
      <c r="R68" s="138" t="s">
        <v>85</v>
      </c>
      <c r="S68" s="140">
        <v>16.482112436115841</v>
      </c>
      <c r="T68" s="115"/>
      <c r="U68" s="115"/>
      <c r="V68" s="134" t="s">
        <v>90</v>
      </c>
      <c r="W68" s="141">
        <v>0.13434153768723583</v>
      </c>
      <c r="X68" s="134" t="s">
        <v>67</v>
      </c>
      <c r="Y68" s="142">
        <v>0.79354093681275706</v>
      </c>
      <c r="Z68" s="122"/>
      <c r="AA68" s="134" t="s">
        <v>90</v>
      </c>
      <c r="AB68" s="141">
        <v>10.991957104557642</v>
      </c>
      <c r="AC68" s="134" t="s">
        <v>67</v>
      </c>
      <c r="AD68" s="143">
        <v>17.911392405063292</v>
      </c>
    </row>
    <row r="69" spans="10:30" x14ac:dyDescent="0.25">
      <c r="K69" s="134" t="s">
        <v>107</v>
      </c>
      <c r="L69" s="135">
        <v>0.14146184031337419</v>
      </c>
      <c r="M69" s="136" t="s">
        <v>91</v>
      </c>
      <c r="N69" s="137">
        <v>0.54164919392947386</v>
      </c>
      <c r="O69" s="115"/>
      <c r="P69" s="138" t="s">
        <v>107</v>
      </c>
      <c r="Q69" s="139">
        <v>9.3275488069414312</v>
      </c>
      <c r="R69" s="138" t="s">
        <v>91</v>
      </c>
      <c r="S69" s="140">
        <v>8.1345826235093686</v>
      </c>
      <c r="T69" s="115"/>
      <c r="U69" s="115"/>
      <c r="V69" s="134" t="s">
        <v>91</v>
      </c>
      <c r="W69" s="141">
        <v>8.1915571760509662E-2</v>
      </c>
      <c r="X69" s="134" t="s">
        <v>90</v>
      </c>
      <c r="Y69" s="142">
        <v>0.3813482947227384</v>
      </c>
      <c r="Z69" s="122"/>
      <c r="AA69" s="134" t="s">
        <v>91</v>
      </c>
      <c r="AB69" s="141">
        <v>6.7024128686327078</v>
      </c>
      <c r="AC69" s="134" t="s">
        <v>90</v>
      </c>
      <c r="AD69" s="143">
        <v>8.6075949367088604</v>
      </c>
    </row>
    <row r="70" spans="10:30" x14ac:dyDescent="0.25">
      <c r="K70" s="134" t="s">
        <v>90</v>
      </c>
      <c r="L70" s="135">
        <v>9.2114686715685526E-2</v>
      </c>
      <c r="M70" s="136" t="s">
        <v>90</v>
      </c>
      <c r="N70" s="137">
        <v>0.5388133342753928</v>
      </c>
      <c r="O70" s="115"/>
      <c r="P70" s="138" t="s">
        <v>90</v>
      </c>
      <c r="Q70" s="139">
        <v>6.0737527114967458</v>
      </c>
      <c r="R70" s="138" t="s">
        <v>90</v>
      </c>
      <c r="S70" s="140">
        <v>8.0919931856899474</v>
      </c>
      <c r="T70" s="115"/>
      <c r="U70" s="115"/>
      <c r="V70" s="134" t="s">
        <v>69</v>
      </c>
      <c r="W70" s="141">
        <v>6.5532457408407727E-2</v>
      </c>
      <c r="X70" s="134" t="s">
        <v>91</v>
      </c>
      <c r="Y70" s="142">
        <v>0.2775991263055228</v>
      </c>
      <c r="Z70" s="122"/>
      <c r="AA70" s="134" t="s">
        <v>69</v>
      </c>
      <c r="AB70" s="141">
        <v>5.3619302949061662</v>
      </c>
      <c r="AC70" s="134" t="s">
        <v>91</v>
      </c>
      <c r="AD70" s="143">
        <v>6.2658227848101262</v>
      </c>
    </row>
    <row r="71" spans="10:30" x14ac:dyDescent="0.25">
      <c r="K71" s="134" t="s">
        <v>69</v>
      </c>
      <c r="L71" s="135">
        <v>7.5665635516455956E-2</v>
      </c>
      <c r="M71" s="136" t="s">
        <v>107</v>
      </c>
      <c r="N71" s="137">
        <v>0.43388652707439529</v>
      </c>
      <c r="O71" s="115"/>
      <c r="P71" s="138" t="s">
        <v>69</v>
      </c>
      <c r="Q71" s="139">
        <v>4.9891540130151846</v>
      </c>
      <c r="R71" s="138" t="s">
        <v>107</v>
      </c>
      <c r="S71" s="140">
        <v>6.5161839863713791</v>
      </c>
      <c r="T71" s="115"/>
      <c r="U71" s="115"/>
      <c r="V71" s="134" t="s">
        <v>87</v>
      </c>
      <c r="W71" s="141">
        <v>6.5532457408407727E-2</v>
      </c>
      <c r="X71" s="134" t="s">
        <v>87</v>
      </c>
      <c r="Y71" s="142">
        <v>0.1486136736787142</v>
      </c>
      <c r="Z71" s="122"/>
      <c r="AA71" s="134" t="s">
        <v>87</v>
      </c>
      <c r="AB71" s="141">
        <v>5.3619302949061662</v>
      </c>
      <c r="AC71" s="134" t="s">
        <v>87</v>
      </c>
      <c r="AD71" s="143">
        <v>3.3544303797468351</v>
      </c>
    </row>
    <row r="72" spans="10:30" x14ac:dyDescent="0.25">
      <c r="K72" s="134" t="s">
        <v>101</v>
      </c>
      <c r="L72" s="135">
        <v>6.9086015036764148E-2</v>
      </c>
      <c r="M72" s="136" t="s">
        <v>94</v>
      </c>
      <c r="N72" s="137">
        <v>0.19000259682342802</v>
      </c>
      <c r="O72" s="115"/>
      <c r="P72" s="138" t="s">
        <v>101</v>
      </c>
      <c r="Q72" s="139">
        <v>4.5553145336225596</v>
      </c>
      <c r="R72" s="138" t="s">
        <v>94</v>
      </c>
      <c r="S72" s="140">
        <v>2.8534923339011926</v>
      </c>
      <c r="T72" s="115"/>
      <c r="U72" s="115"/>
      <c r="V72" s="134" t="s">
        <v>84</v>
      </c>
      <c r="W72" s="141">
        <v>4.9149343056305791E-2</v>
      </c>
      <c r="X72" s="134" t="s">
        <v>84</v>
      </c>
      <c r="Y72" s="142">
        <v>0.13178948420565223</v>
      </c>
      <c r="Z72" s="122"/>
      <c r="AA72" s="134" t="s">
        <v>84</v>
      </c>
      <c r="AB72" s="141">
        <v>4.0214477211796247</v>
      </c>
      <c r="AC72" s="134" t="s">
        <v>84</v>
      </c>
      <c r="AD72" s="143">
        <v>2.9746835443037973</v>
      </c>
    </row>
    <row r="73" spans="10:30" x14ac:dyDescent="0.25">
      <c r="K73" s="134" t="s">
        <v>103</v>
      </c>
      <c r="L73" s="135">
        <v>5.2636963837534585E-2</v>
      </c>
      <c r="M73" s="136" t="s">
        <v>84</v>
      </c>
      <c r="N73" s="137">
        <v>0.17298743889894191</v>
      </c>
      <c r="O73" s="115"/>
      <c r="P73" s="138" t="s">
        <v>103</v>
      </c>
      <c r="Q73" s="139">
        <v>3.4707158351409979</v>
      </c>
      <c r="R73" s="138" t="s">
        <v>84</v>
      </c>
      <c r="S73" s="140">
        <v>2.5979557069846679</v>
      </c>
      <c r="T73" s="115"/>
      <c r="U73" s="115"/>
      <c r="V73" s="134" t="s">
        <v>71</v>
      </c>
      <c r="W73" s="141">
        <v>4.2596097315465015E-2</v>
      </c>
      <c r="X73" s="134" t="s">
        <v>69</v>
      </c>
      <c r="Y73" s="142">
        <v>0.11496529473259025</v>
      </c>
      <c r="Z73" s="122"/>
      <c r="AA73" s="134" t="s">
        <v>71</v>
      </c>
      <c r="AB73" s="141">
        <v>3.4852546916890081</v>
      </c>
      <c r="AC73" s="134" t="s">
        <v>69</v>
      </c>
      <c r="AD73" s="143">
        <v>2.5949367088607596</v>
      </c>
    </row>
    <row r="74" spans="10:30" x14ac:dyDescent="0.25">
      <c r="K74" s="134" t="s">
        <v>72</v>
      </c>
      <c r="L74" s="135">
        <v>3.618791263830503E-2</v>
      </c>
      <c r="M74" s="136" t="s">
        <v>69</v>
      </c>
      <c r="N74" s="137">
        <v>0.13044954408772669</v>
      </c>
      <c r="O74" s="115"/>
      <c r="P74" s="138" t="s">
        <v>72</v>
      </c>
      <c r="Q74" s="139">
        <v>2.3861171366594358</v>
      </c>
      <c r="R74" s="138" t="s">
        <v>69</v>
      </c>
      <c r="S74" s="140">
        <v>1.9591141396933562</v>
      </c>
      <c r="T74" s="115"/>
      <c r="U74" s="115"/>
      <c r="V74" s="134" t="s">
        <v>72</v>
      </c>
      <c r="W74" s="141">
        <v>4.2596097315465015E-2</v>
      </c>
      <c r="X74" s="134" t="s">
        <v>72</v>
      </c>
      <c r="Y74" s="142">
        <v>0.10094513683837192</v>
      </c>
      <c r="Z74" s="122"/>
      <c r="AA74" s="134" t="s">
        <v>72</v>
      </c>
      <c r="AB74" s="141">
        <v>3.4852546916890081</v>
      </c>
      <c r="AC74" s="134" t="s">
        <v>72</v>
      </c>
      <c r="AD74" s="143">
        <v>2.278481012658228</v>
      </c>
    </row>
    <row r="75" spans="10:30" x14ac:dyDescent="0.25">
      <c r="K75" s="134" t="s">
        <v>82</v>
      </c>
      <c r="L75" s="135">
        <v>3.618791263830503E-2</v>
      </c>
      <c r="M75" s="136" t="s">
        <v>87</v>
      </c>
      <c r="N75" s="137">
        <v>0.10209094754691654</v>
      </c>
      <c r="O75" s="115"/>
      <c r="P75" s="138" t="s">
        <v>82</v>
      </c>
      <c r="Q75" s="139">
        <v>2.3861171366594358</v>
      </c>
      <c r="R75" s="138" t="s">
        <v>87</v>
      </c>
      <c r="S75" s="140">
        <v>1.5332197614991483</v>
      </c>
      <c r="T75" s="115"/>
      <c r="U75" s="115"/>
      <c r="V75" s="134" t="s">
        <v>94</v>
      </c>
      <c r="W75" s="141">
        <v>3.9319474445044633E-2</v>
      </c>
      <c r="X75" s="134" t="s">
        <v>71</v>
      </c>
      <c r="Y75" s="142">
        <v>9.8141105259528266E-2</v>
      </c>
      <c r="Z75" s="122"/>
      <c r="AA75" s="134" t="s">
        <v>94</v>
      </c>
      <c r="AB75" s="141">
        <v>3.2171581769436997</v>
      </c>
      <c r="AC75" s="134" t="s">
        <v>71</v>
      </c>
      <c r="AD75" s="143">
        <v>2.2151898734177213</v>
      </c>
    </row>
    <row r="76" spans="10:30" x14ac:dyDescent="0.25">
      <c r="K76" s="134" t="s">
        <v>84</v>
      </c>
      <c r="L76" s="135">
        <v>3.2898102398459118E-2</v>
      </c>
      <c r="M76" s="136" t="s">
        <v>103</v>
      </c>
      <c r="N76" s="137">
        <v>7.6568210660187402E-2</v>
      </c>
      <c r="O76" s="115"/>
      <c r="P76" s="138" t="s">
        <v>84</v>
      </c>
      <c r="Q76" s="139">
        <v>2.1691973969631237</v>
      </c>
      <c r="R76" s="138" t="s">
        <v>103</v>
      </c>
      <c r="S76" s="140">
        <v>1.1499148211243613</v>
      </c>
      <c r="T76" s="115"/>
      <c r="U76" s="115"/>
      <c r="V76" s="134" t="s">
        <v>107</v>
      </c>
      <c r="W76" s="141">
        <v>3.2766228704203863E-2</v>
      </c>
      <c r="X76" s="134" t="s">
        <v>94</v>
      </c>
      <c r="Y76" s="142">
        <v>9.53370736806846E-2</v>
      </c>
      <c r="Z76" s="122"/>
      <c r="AA76" s="134" t="s">
        <v>107</v>
      </c>
      <c r="AB76" s="141">
        <v>2.6809651474530831</v>
      </c>
      <c r="AC76" s="134" t="s">
        <v>94</v>
      </c>
      <c r="AD76" s="143">
        <v>2.1518987341772151</v>
      </c>
    </row>
    <row r="77" spans="10:30" x14ac:dyDescent="0.25">
      <c r="K77" s="134" t="s">
        <v>94</v>
      </c>
      <c r="L77" s="135">
        <v>3.2898102398459118E-2</v>
      </c>
      <c r="M77" s="136" t="s">
        <v>72</v>
      </c>
      <c r="N77" s="137">
        <v>5.9553052735701315E-2</v>
      </c>
      <c r="O77" s="115"/>
      <c r="P77" s="138" t="s">
        <v>94</v>
      </c>
      <c r="Q77" s="139">
        <v>2.1691973969631237</v>
      </c>
      <c r="R77" s="138" t="s">
        <v>72</v>
      </c>
      <c r="S77" s="140">
        <v>0.89437819420783649</v>
      </c>
      <c r="T77" s="115"/>
      <c r="U77" s="115"/>
      <c r="V77" s="134" t="s">
        <v>82</v>
      </c>
      <c r="W77" s="141">
        <v>2.621298296336309E-2</v>
      </c>
      <c r="X77" s="134" t="s">
        <v>107</v>
      </c>
      <c r="Y77" s="142">
        <v>7.0100789471091621E-2</v>
      </c>
      <c r="Z77" s="122"/>
      <c r="AA77" s="134" t="s">
        <v>82</v>
      </c>
      <c r="AB77" s="141">
        <v>2.1447721179624666</v>
      </c>
      <c r="AC77" s="134" t="s">
        <v>107</v>
      </c>
      <c r="AD77" s="143">
        <v>1.5822784810126582</v>
      </c>
    </row>
    <row r="78" spans="10:30" x14ac:dyDescent="0.25">
      <c r="K78" s="134" t="s">
        <v>106</v>
      </c>
      <c r="L78" s="135">
        <v>2.9608292158613204E-2</v>
      </c>
      <c r="M78" s="136" t="s">
        <v>106</v>
      </c>
      <c r="N78" s="137">
        <v>5.9553052735701315E-2</v>
      </c>
      <c r="O78" s="115"/>
      <c r="P78" s="138" t="s">
        <v>106</v>
      </c>
      <c r="Q78" s="139">
        <v>1.9522776572668112</v>
      </c>
      <c r="R78" s="138" t="s">
        <v>106</v>
      </c>
      <c r="S78" s="140">
        <v>0.89437819420783649</v>
      </c>
      <c r="T78" s="115"/>
      <c r="U78" s="115"/>
      <c r="V78" s="134" t="s">
        <v>73</v>
      </c>
      <c r="W78" s="141">
        <v>2.2936360092942702E-2</v>
      </c>
      <c r="X78" s="134" t="s">
        <v>93</v>
      </c>
      <c r="Y78" s="142">
        <v>5.0472568419185959E-2</v>
      </c>
      <c r="Z78" s="122"/>
      <c r="AA78" s="134" t="s">
        <v>73</v>
      </c>
      <c r="AB78" s="141">
        <v>1.8766756032171581</v>
      </c>
      <c r="AC78" s="134" t="s">
        <v>93</v>
      </c>
      <c r="AD78" s="143">
        <v>1.139240506329114</v>
      </c>
    </row>
    <row r="79" spans="10:30" x14ac:dyDescent="0.25">
      <c r="K79" s="134" t="s">
        <v>73</v>
      </c>
      <c r="L79" s="135">
        <v>2.6318481918767293E-2</v>
      </c>
      <c r="M79" s="136" t="s">
        <v>74</v>
      </c>
      <c r="N79" s="137">
        <v>4.5373754465296241E-2</v>
      </c>
      <c r="O79" s="115"/>
      <c r="P79" s="138" t="s">
        <v>73</v>
      </c>
      <c r="Q79" s="139">
        <v>1.735357917570499</v>
      </c>
      <c r="R79" s="138" t="s">
        <v>74</v>
      </c>
      <c r="S79" s="140">
        <v>0.68143100511073251</v>
      </c>
      <c r="T79" s="115"/>
      <c r="U79" s="115"/>
      <c r="V79" s="134" t="s">
        <v>70</v>
      </c>
      <c r="W79" s="141">
        <v>1.9659737222522317E-2</v>
      </c>
      <c r="X79" s="134" t="s">
        <v>86</v>
      </c>
      <c r="Y79" s="142">
        <v>4.76685368403423E-2</v>
      </c>
      <c r="Z79" s="122"/>
      <c r="AA79" s="134" t="s">
        <v>70</v>
      </c>
      <c r="AB79" s="141">
        <v>1.6085790884718498</v>
      </c>
      <c r="AC79" s="134" t="s">
        <v>86</v>
      </c>
      <c r="AD79" s="143">
        <v>1.0759493670886076</v>
      </c>
    </row>
    <row r="80" spans="10:30" x14ac:dyDescent="0.25">
      <c r="K80" s="134" t="s">
        <v>80</v>
      </c>
      <c r="L80" s="135">
        <v>2.6318481918767293E-2</v>
      </c>
      <c r="M80" s="136" t="s">
        <v>82</v>
      </c>
      <c r="N80" s="137">
        <v>4.2537894811215227E-2</v>
      </c>
      <c r="O80" s="115"/>
      <c r="P80" s="138" t="s">
        <v>80</v>
      </c>
      <c r="Q80" s="139">
        <v>1.735357917570499</v>
      </c>
      <c r="R80" s="138" t="s">
        <v>82</v>
      </c>
      <c r="S80" s="140">
        <v>0.6388415672913117</v>
      </c>
      <c r="T80" s="115"/>
      <c r="U80" s="115"/>
      <c r="V80" s="134" t="s">
        <v>80</v>
      </c>
      <c r="W80" s="141">
        <v>1.9659737222522317E-2</v>
      </c>
      <c r="X80" s="134" t="s">
        <v>82</v>
      </c>
      <c r="Y80" s="142">
        <v>4.2060473682654968E-2</v>
      </c>
      <c r="Z80" s="122"/>
      <c r="AA80" s="134" t="s">
        <v>80</v>
      </c>
      <c r="AB80" s="141">
        <v>1.6085790884718498</v>
      </c>
      <c r="AC80" s="134" t="s">
        <v>82</v>
      </c>
      <c r="AD80" s="143">
        <v>0.949367088607595</v>
      </c>
    </row>
    <row r="81" spans="11:30" x14ac:dyDescent="0.25">
      <c r="K81" s="134" t="s">
        <v>99</v>
      </c>
      <c r="L81" s="135">
        <v>2.6318481918767293E-2</v>
      </c>
      <c r="M81" s="136" t="s">
        <v>98</v>
      </c>
      <c r="N81" s="137">
        <v>3.9702035157134212E-2</v>
      </c>
      <c r="O81" s="115"/>
      <c r="P81" s="138" t="s">
        <v>99</v>
      </c>
      <c r="Q81" s="139">
        <v>1.735357917570499</v>
      </c>
      <c r="R81" s="138" t="s">
        <v>98</v>
      </c>
      <c r="S81" s="140">
        <v>0.59625212947189099</v>
      </c>
      <c r="T81" s="115"/>
      <c r="U81" s="115"/>
      <c r="V81" s="134" t="s">
        <v>86</v>
      </c>
      <c r="W81" s="141">
        <v>1.9659737222522317E-2</v>
      </c>
      <c r="X81" s="134" t="s">
        <v>99</v>
      </c>
      <c r="Y81" s="142">
        <v>4.2060473682654968E-2</v>
      </c>
      <c r="Z81" s="122"/>
      <c r="AA81" s="134" t="s">
        <v>86</v>
      </c>
      <c r="AB81" s="141">
        <v>1.6085790884718498</v>
      </c>
      <c r="AC81" s="134" t="s">
        <v>99</v>
      </c>
      <c r="AD81" s="143">
        <v>0.949367088607595</v>
      </c>
    </row>
    <row r="82" spans="11:30" x14ac:dyDescent="0.25">
      <c r="K82" s="134" t="s">
        <v>87</v>
      </c>
      <c r="L82" s="135">
        <v>2.3028671678921381E-2</v>
      </c>
      <c r="M82" s="136" t="s">
        <v>70</v>
      </c>
      <c r="N82" s="137">
        <v>3.686617550305319E-2</v>
      </c>
      <c r="O82" s="115"/>
      <c r="P82" s="138" t="s">
        <v>87</v>
      </c>
      <c r="Q82" s="139">
        <v>1.5184381778741864</v>
      </c>
      <c r="R82" s="138" t="s">
        <v>70</v>
      </c>
      <c r="S82" s="140">
        <v>0.55366269165247017</v>
      </c>
      <c r="T82" s="115"/>
      <c r="U82" s="115"/>
      <c r="V82" s="134" t="s">
        <v>93</v>
      </c>
      <c r="W82" s="141">
        <v>1.9659737222522317E-2</v>
      </c>
      <c r="X82" s="134" t="s">
        <v>103</v>
      </c>
      <c r="Y82" s="142">
        <v>3.6452410524967643E-2</v>
      </c>
      <c r="Z82" s="122"/>
      <c r="AA82" s="134" t="s">
        <v>93</v>
      </c>
      <c r="AB82" s="141">
        <v>1.6085790884718498</v>
      </c>
      <c r="AC82" s="134" t="s">
        <v>103</v>
      </c>
      <c r="AD82" s="143">
        <v>0.82278481012658233</v>
      </c>
    </row>
    <row r="83" spans="11:30" x14ac:dyDescent="0.25">
      <c r="K83" s="134" t="s">
        <v>86</v>
      </c>
      <c r="L83" s="135">
        <v>1.973886143907547E-2</v>
      </c>
      <c r="M83" s="136" t="s">
        <v>81</v>
      </c>
      <c r="N83" s="137">
        <v>3.4030315848972176E-2</v>
      </c>
      <c r="O83" s="115"/>
      <c r="P83" s="138" t="s">
        <v>86</v>
      </c>
      <c r="Q83" s="139">
        <v>1.3015184381778742</v>
      </c>
      <c r="R83" s="138" t="s">
        <v>81</v>
      </c>
      <c r="S83" s="140">
        <v>0.51107325383304936</v>
      </c>
      <c r="T83" s="115"/>
      <c r="U83" s="115"/>
      <c r="V83" s="134" t="s">
        <v>98</v>
      </c>
      <c r="W83" s="141">
        <v>1.9659737222522317E-2</v>
      </c>
      <c r="X83" s="134" t="s">
        <v>92</v>
      </c>
      <c r="Y83" s="142">
        <v>3.0844347367280311E-2</v>
      </c>
      <c r="Z83" s="122"/>
      <c r="AA83" s="134" t="s">
        <v>98</v>
      </c>
      <c r="AB83" s="141">
        <v>1.6085790884718498</v>
      </c>
      <c r="AC83" s="134" t="s">
        <v>92</v>
      </c>
      <c r="AD83" s="143">
        <v>0.69620253164556956</v>
      </c>
    </row>
    <row r="84" spans="11:30" x14ac:dyDescent="0.25">
      <c r="K84" s="134" t="s">
        <v>108</v>
      </c>
      <c r="L84" s="135">
        <v>1.973886143907547E-2</v>
      </c>
      <c r="M84" s="136" t="s">
        <v>108</v>
      </c>
      <c r="N84" s="137">
        <v>3.1194456194891168E-2</v>
      </c>
      <c r="O84" s="115"/>
      <c r="P84" s="138" t="s">
        <v>108</v>
      </c>
      <c r="Q84" s="139">
        <v>1.3015184381778742</v>
      </c>
      <c r="R84" s="138" t="s">
        <v>108</v>
      </c>
      <c r="S84" s="140">
        <v>0.46848381601362865</v>
      </c>
      <c r="T84" s="115"/>
      <c r="U84" s="115"/>
      <c r="V84" s="134" t="s">
        <v>101</v>
      </c>
      <c r="W84" s="141">
        <v>1.6383114352101932E-2</v>
      </c>
      <c r="X84" s="134" t="s">
        <v>88</v>
      </c>
      <c r="Y84" s="142">
        <v>2.523628420959298E-2</v>
      </c>
      <c r="Z84" s="122"/>
      <c r="AA84" s="134" t="s">
        <v>101</v>
      </c>
      <c r="AB84" s="141">
        <v>1.3404825737265416</v>
      </c>
      <c r="AC84" s="134" t="s">
        <v>88</v>
      </c>
      <c r="AD84" s="143">
        <v>0.569620253164557</v>
      </c>
    </row>
    <row r="85" spans="11:30" x14ac:dyDescent="0.25">
      <c r="K85" s="134" t="s">
        <v>71</v>
      </c>
      <c r="L85" s="135">
        <v>1.6449051199229559E-2</v>
      </c>
      <c r="M85" s="136" t="s">
        <v>101</v>
      </c>
      <c r="N85" s="137">
        <v>2.835859654081015E-2</v>
      </c>
      <c r="O85" s="115"/>
      <c r="P85" s="138" t="s">
        <v>71</v>
      </c>
      <c r="Q85" s="139">
        <v>1.0845986984815619</v>
      </c>
      <c r="R85" s="138" t="s">
        <v>101</v>
      </c>
      <c r="S85" s="140">
        <v>0.42589437819420783</v>
      </c>
      <c r="T85" s="115"/>
      <c r="U85" s="115"/>
      <c r="V85" s="134" t="s">
        <v>106</v>
      </c>
      <c r="W85" s="141">
        <v>1.3106491481681545E-2</v>
      </c>
      <c r="X85" s="134" t="s">
        <v>78</v>
      </c>
      <c r="Y85" s="142">
        <v>2.2432252630749317E-2</v>
      </c>
      <c r="Z85" s="122"/>
      <c r="AA85" s="134" t="s">
        <v>106</v>
      </c>
      <c r="AB85" s="141">
        <v>1.0723860589812333</v>
      </c>
      <c r="AC85" s="134" t="s">
        <v>78</v>
      </c>
      <c r="AD85" s="143">
        <v>0.50632911392405067</v>
      </c>
    </row>
    <row r="86" spans="11:30" x14ac:dyDescent="0.25">
      <c r="K86" s="134" t="s">
        <v>75</v>
      </c>
      <c r="L86" s="135">
        <v>1.6449051199229559E-2</v>
      </c>
      <c r="M86" s="136" t="s">
        <v>71</v>
      </c>
      <c r="N86" s="137">
        <v>2.5522736886729135E-2</v>
      </c>
      <c r="O86" s="115"/>
      <c r="P86" s="138" t="s">
        <v>75</v>
      </c>
      <c r="Q86" s="139">
        <v>1.0845986984815619</v>
      </c>
      <c r="R86" s="138" t="s">
        <v>71</v>
      </c>
      <c r="S86" s="140">
        <v>0.38330494037478707</v>
      </c>
      <c r="T86" s="115"/>
      <c r="U86" s="115"/>
      <c r="V86" s="134" t="s">
        <v>67</v>
      </c>
      <c r="W86" s="141">
        <v>9.8298686112611583E-3</v>
      </c>
      <c r="X86" s="134" t="s">
        <v>65</v>
      </c>
      <c r="Y86" s="142">
        <v>1.9628221051905651E-2</v>
      </c>
      <c r="Z86" s="122"/>
      <c r="AA86" s="134" t="s">
        <v>67</v>
      </c>
      <c r="AB86" s="141">
        <v>0.80428954423592491</v>
      </c>
      <c r="AC86" s="134" t="s">
        <v>65</v>
      </c>
      <c r="AD86" s="143">
        <v>0.44303797468354433</v>
      </c>
    </row>
    <row r="87" spans="11:30" x14ac:dyDescent="0.25">
      <c r="K87" s="134" t="s">
        <v>95</v>
      </c>
      <c r="L87" s="135">
        <v>1.3159240959383646E-2</v>
      </c>
      <c r="M87" s="136" t="s">
        <v>73</v>
      </c>
      <c r="N87" s="137">
        <v>2.5522736886729135E-2</v>
      </c>
      <c r="O87" s="115"/>
      <c r="P87" s="138" t="s">
        <v>95</v>
      </c>
      <c r="Q87" s="139">
        <v>0.86767895878524948</v>
      </c>
      <c r="R87" s="138" t="s">
        <v>73</v>
      </c>
      <c r="S87" s="140">
        <v>0.38330494037478707</v>
      </c>
      <c r="T87" s="115"/>
      <c r="U87" s="115"/>
      <c r="V87" s="134" t="s">
        <v>74</v>
      </c>
      <c r="W87" s="141">
        <v>9.8298686112611583E-3</v>
      </c>
      <c r="X87" s="134" t="s">
        <v>74</v>
      </c>
      <c r="Y87" s="142">
        <v>1.9628221051905651E-2</v>
      </c>
      <c r="Z87" s="122"/>
      <c r="AA87" s="134" t="s">
        <v>74</v>
      </c>
      <c r="AB87" s="141">
        <v>0.80428954423592491</v>
      </c>
      <c r="AC87" s="134" t="s">
        <v>74</v>
      </c>
      <c r="AD87" s="143">
        <v>0.44303797468354433</v>
      </c>
    </row>
    <row r="88" spans="11:30" x14ac:dyDescent="0.25">
      <c r="K88" s="134" t="s">
        <v>70</v>
      </c>
      <c r="L88" s="135">
        <v>9.8694307195377352E-3</v>
      </c>
      <c r="M88" s="136" t="s">
        <v>88</v>
      </c>
      <c r="N88" s="137">
        <v>2.5522736886729135E-2</v>
      </c>
      <c r="O88" s="115"/>
      <c r="P88" s="138" t="s">
        <v>70</v>
      </c>
      <c r="Q88" s="139">
        <v>0.65075921908893708</v>
      </c>
      <c r="R88" s="138" t="s">
        <v>88</v>
      </c>
      <c r="S88" s="140">
        <v>0.38330494037478707</v>
      </c>
      <c r="T88" s="115"/>
      <c r="U88" s="115"/>
      <c r="V88" s="134" t="s">
        <v>75</v>
      </c>
      <c r="W88" s="141">
        <v>9.8298686112611583E-3</v>
      </c>
      <c r="X88" s="134" t="s">
        <v>70</v>
      </c>
      <c r="Y88" s="142">
        <v>1.6824189473061985E-2</v>
      </c>
      <c r="Z88" s="122"/>
      <c r="AA88" s="134" t="s">
        <v>75</v>
      </c>
      <c r="AB88" s="141">
        <v>0.80428954423592491</v>
      </c>
      <c r="AC88" s="134" t="s">
        <v>70</v>
      </c>
      <c r="AD88" s="143">
        <v>0.37974683544303794</v>
      </c>
    </row>
    <row r="89" spans="11:30" x14ac:dyDescent="0.25">
      <c r="K89" s="134" t="s">
        <v>88</v>
      </c>
      <c r="L89" s="135">
        <v>9.8694307195377352E-3</v>
      </c>
      <c r="M89" s="136" t="s">
        <v>77</v>
      </c>
      <c r="N89" s="137">
        <v>2.2686877232648121E-2</v>
      </c>
      <c r="O89" s="115"/>
      <c r="P89" s="138" t="s">
        <v>88</v>
      </c>
      <c r="Q89" s="139">
        <v>0.65075921908893708</v>
      </c>
      <c r="R89" s="138" t="s">
        <v>77</v>
      </c>
      <c r="S89" s="140">
        <v>0.34071550255536626</v>
      </c>
      <c r="T89" s="115"/>
      <c r="U89" s="115"/>
      <c r="V89" s="134" t="s">
        <v>81</v>
      </c>
      <c r="W89" s="141">
        <v>9.8298686112611583E-3</v>
      </c>
      <c r="X89" s="134" t="s">
        <v>73</v>
      </c>
      <c r="Y89" s="142">
        <v>1.6824189473061985E-2</v>
      </c>
      <c r="Z89" s="122"/>
      <c r="AA89" s="134" t="s">
        <v>81</v>
      </c>
      <c r="AB89" s="141">
        <v>0.80428954423592491</v>
      </c>
      <c r="AC89" s="134" t="s">
        <v>73</v>
      </c>
      <c r="AD89" s="143">
        <v>0.37974683544303794</v>
      </c>
    </row>
    <row r="90" spans="11:30" x14ac:dyDescent="0.25">
      <c r="K90" s="134" t="s">
        <v>98</v>
      </c>
      <c r="L90" s="135">
        <v>9.8694307195377352E-3</v>
      </c>
      <c r="M90" s="136" t="s">
        <v>86</v>
      </c>
      <c r="N90" s="137">
        <v>2.2686877232648121E-2</v>
      </c>
      <c r="O90" s="115"/>
      <c r="P90" s="138" t="s">
        <v>98</v>
      </c>
      <c r="Q90" s="139">
        <v>0.65075921908893708</v>
      </c>
      <c r="R90" s="138" t="s">
        <v>86</v>
      </c>
      <c r="S90" s="140">
        <v>0.34071550255536626</v>
      </c>
      <c r="T90" s="115"/>
      <c r="U90" s="115"/>
      <c r="V90" s="134" t="s">
        <v>63</v>
      </c>
      <c r="W90" s="141">
        <v>6.5532457408407725E-3</v>
      </c>
      <c r="X90" s="134" t="s">
        <v>77</v>
      </c>
      <c r="Y90" s="142">
        <v>1.6824189473061985E-2</v>
      </c>
      <c r="Z90" s="122"/>
      <c r="AA90" s="134" t="s">
        <v>63</v>
      </c>
      <c r="AB90" s="141">
        <v>0.53619302949061665</v>
      </c>
      <c r="AC90" s="134" t="s">
        <v>77</v>
      </c>
      <c r="AD90" s="143">
        <v>0.37974683544303794</v>
      </c>
    </row>
    <row r="91" spans="11:30" x14ac:dyDescent="0.25">
      <c r="K91" s="134" t="s">
        <v>100</v>
      </c>
      <c r="L91" s="135">
        <v>9.8694307195377352E-3</v>
      </c>
      <c r="M91" s="136" t="s">
        <v>99</v>
      </c>
      <c r="N91" s="137">
        <v>2.2686877232648121E-2</v>
      </c>
      <c r="O91" s="115"/>
      <c r="P91" s="138" t="s">
        <v>100</v>
      </c>
      <c r="Q91" s="139">
        <v>0.65075921908893708</v>
      </c>
      <c r="R91" s="138" t="s">
        <v>99</v>
      </c>
      <c r="S91" s="140">
        <v>0.34071550255536626</v>
      </c>
      <c r="T91" s="115"/>
      <c r="U91" s="115"/>
      <c r="V91" s="134" t="s">
        <v>78</v>
      </c>
      <c r="W91" s="141">
        <v>6.5532457408407725E-3</v>
      </c>
      <c r="X91" s="134" t="s">
        <v>98</v>
      </c>
      <c r="Y91" s="142">
        <v>1.6824189473061985E-2</v>
      </c>
      <c r="Z91" s="122"/>
      <c r="AA91" s="134" t="s">
        <v>78</v>
      </c>
      <c r="AB91" s="141">
        <v>0.53619302949061665</v>
      </c>
      <c r="AC91" s="134" t="s">
        <v>98</v>
      </c>
      <c r="AD91" s="143">
        <v>0.37974683544303794</v>
      </c>
    </row>
    <row r="92" spans="11:30" x14ac:dyDescent="0.25">
      <c r="K92" s="134" t="s">
        <v>67</v>
      </c>
      <c r="L92" s="135">
        <v>6.5796204796918232E-3</v>
      </c>
      <c r="M92" s="136" t="s">
        <v>92</v>
      </c>
      <c r="N92" s="137">
        <v>1.7015157924486088E-2</v>
      </c>
      <c r="O92" s="115"/>
      <c r="P92" s="138" t="s">
        <v>67</v>
      </c>
      <c r="Q92" s="139">
        <v>0.43383947939262474</v>
      </c>
      <c r="R92" s="138" t="s">
        <v>92</v>
      </c>
      <c r="S92" s="140">
        <v>0.25553662691652468</v>
      </c>
      <c r="T92" s="115"/>
      <c r="U92" s="115"/>
      <c r="V92" s="134" t="s">
        <v>83</v>
      </c>
      <c r="W92" s="141">
        <v>6.5532457408407725E-3</v>
      </c>
      <c r="X92" s="134" t="s">
        <v>63</v>
      </c>
      <c r="Y92" s="142">
        <v>1.4020157894218323E-2</v>
      </c>
      <c r="Z92" s="122"/>
      <c r="AA92" s="134" t="s">
        <v>83</v>
      </c>
      <c r="AB92" s="141">
        <v>0.53619302949061665</v>
      </c>
      <c r="AC92" s="134" t="s">
        <v>63</v>
      </c>
      <c r="AD92" s="143">
        <v>0.31645569620253167</v>
      </c>
    </row>
    <row r="93" spans="11:30" x14ac:dyDescent="0.25">
      <c r="K93" s="134" t="s">
        <v>77</v>
      </c>
      <c r="L93" s="135">
        <v>6.5796204796918232E-3</v>
      </c>
      <c r="M93" s="136" t="s">
        <v>63</v>
      </c>
      <c r="N93" s="137">
        <v>1.4179298270405075E-2</v>
      </c>
      <c r="O93" s="115"/>
      <c r="P93" s="138" t="s">
        <v>77</v>
      </c>
      <c r="Q93" s="139">
        <v>0.43383947939262474</v>
      </c>
      <c r="R93" s="138" t="s">
        <v>63</v>
      </c>
      <c r="S93" s="140">
        <v>0.21294718909710392</v>
      </c>
      <c r="T93" s="115"/>
      <c r="U93" s="115"/>
      <c r="V93" s="134" t="s">
        <v>88</v>
      </c>
      <c r="W93" s="141">
        <v>6.5532457408407725E-3</v>
      </c>
      <c r="X93" s="134" t="s">
        <v>80</v>
      </c>
      <c r="Y93" s="142">
        <v>1.4020157894218323E-2</v>
      </c>
      <c r="Z93" s="122"/>
      <c r="AA93" s="134" t="s">
        <v>88</v>
      </c>
      <c r="AB93" s="141">
        <v>0.53619302949061665</v>
      </c>
      <c r="AC93" s="134" t="s">
        <v>80</v>
      </c>
      <c r="AD93" s="143">
        <v>0.31645569620253167</v>
      </c>
    </row>
    <row r="94" spans="11:30" x14ac:dyDescent="0.25">
      <c r="K94" s="134" t="s">
        <v>81</v>
      </c>
      <c r="L94" s="135">
        <v>6.5796204796918232E-3</v>
      </c>
      <c r="M94" s="136" t="s">
        <v>65</v>
      </c>
      <c r="N94" s="137">
        <v>1.134343861632406E-2</v>
      </c>
      <c r="O94" s="115"/>
      <c r="P94" s="138" t="s">
        <v>81</v>
      </c>
      <c r="Q94" s="139">
        <v>0.43383947939262474</v>
      </c>
      <c r="R94" s="138" t="s">
        <v>65</v>
      </c>
      <c r="S94" s="140">
        <v>0.17035775127768313</v>
      </c>
      <c r="T94" s="115"/>
      <c r="U94" s="115"/>
      <c r="V94" s="134" t="s">
        <v>89</v>
      </c>
      <c r="W94" s="141">
        <v>6.5532457408407725E-3</v>
      </c>
      <c r="X94" s="134" t="s">
        <v>81</v>
      </c>
      <c r="Y94" s="142">
        <v>1.4020157894218323E-2</v>
      </c>
      <c r="Z94" s="122"/>
      <c r="AA94" s="134" t="s">
        <v>89</v>
      </c>
      <c r="AB94" s="141">
        <v>0.53619302949061665</v>
      </c>
      <c r="AC94" s="134" t="s">
        <v>81</v>
      </c>
      <c r="AD94" s="143">
        <v>0.31645569620253167</v>
      </c>
    </row>
    <row r="95" spans="11:30" x14ac:dyDescent="0.25">
      <c r="K95" s="134" t="s">
        <v>105</v>
      </c>
      <c r="L95" s="135">
        <v>6.5796204796918232E-3</v>
      </c>
      <c r="M95" s="136" t="s">
        <v>68</v>
      </c>
      <c r="N95" s="137">
        <v>1.134343861632406E-2</v>
      </c>
      <c r="O95" s="115"/>
      <c r="P95" s="138" t="s">
        <v>105</v>
      </c>
      <c r="Q95" s="139">
        <v>0.43383947939262474</v>
      </c>
      <c r="R95" s="138" t="s">
        <v>68</v>
      </c>
      <c r="S95" s="140">
        <v>0.17035775127768313</v>
      </c>
      <c r="T95" s="115"/>
      <c r="U95" s="115"/>
      <c r="V95" s="134" t="s">
        <v>103</v>
      </c>
      <c r="W95" s="141">
        <v>6.5532457408407725E-3</v>
      </c>
      <c r="X95" s="134" t="s">
        <v>76</v>
      </c>
      <c r="Y95" s="142">
        <v>8.4120947365309926E-3</v>
      </c>
      <c r="Z95" s="122"/>
      <c r="AA95" s="134" t="s">
        <v>103</v>
      </c>
      <c r="AB95" s="141">
        <v>0.53619302949061665</v>
      </c>
      <c r="AC95" s="134" t="s">
        <v>76</v>
      </c>
      <c r="AD95" s="143">
        <v>0.18987341772151897</v>
      </c>
    </row>
    <row r="96" spans="11:30" x14ac:dyDescent="0.25">
      <c r="K96" s="134" t="s">
        <v>63</v>
      </c>
      <c r="L96" s="135">
        <v>3.2898102398459116E-3</v>
      </c>
      <c r="M96" s="136" t="s">
        <v>78</v>
      </c>
      <c r="N96" s="137">
        <v>1.134343861632406E-2</v>
      </c>
      <c r="O96" s="115"/>
      <c r="P96" s="138" t="s">
        <v>63</v>
      </c>
      <c r="Q96" s="139">
        <v>0.21691973969631237</v>
      </c>
      <c r="R96" s="138" t="s">
        <v>78</v>
      </c>
      <c r="S96" s="140">
        <v>0.17035775127768313</v>
      </c>
      <c r="T96" s="115"/>
      <c r="U96" s="115"/>
      <c r="V96" s="134" t="s">
        <v>68</v>
      </c>
      <c r="W96" s="141">
        <v>3.2766228704203862E-3</v>
      </c>
      <c r="X96" s="134" t="s">
        <v>83</v>
      </c>
      <c r="Y96" s="142">
        <v>8.4120947365309926E-3</v>
      </c>
      <c r="Z96" s="122"/>
      <c r="AA96" s="134" t="s">
        <v>68</v>
      </c>
      <c r="AB96" s="141">
        <v>0.26809651474530832</v>
      </c>
      <c r="AC96" s="134" t="s">
        <v>83</v>
      </c>
      <c r="AD96" s="143">
        <v>0.18987341772151897</v>
      </c>
    </row>
    <row r="97" spans="11:30" x14ac:dyDescent="0.25">
      <c r="K97" s="134" t="s">
        <v>68</v>
      </c>
      <c r="L97" s="135">
        <v>3.2898102398459116E-3</v>
      </c>
      <c r="M97" s="136" t="s">
        <v>93</v>
      </c>
      <c r="N97" s="137">
        <v>1.134343861632406E-2</v>
      </c>
      <c r="O97" s="115"/>
      <c r="P97" s="138" t="s">
        <v>68</v>
      </c>
      <c r="Q97" s="139">
        <v>0.21691973969631237</v>
      </c>
      <c r="R97" s="138" t="s">
        <v>93</v>
      </c>
      <c r="S97" s="140">
        <v>0.17035775127768313</v>
      </c>
      <c r="T97" s="115"/>
      <c r="U97" s="115"/>
      <c r="V97" s="134" t="s">
        <v>97</v>
      </c>
      <c r="W97" s="141">
        <v>3.2766228704203862E-3</v>
      </c>
      <c r="X97" s="134" t="s">
        <v>96</v>
      </c>
      <c r="Y97" s="142">
        <v>8.4120947365309926E-3</v>
      </c>
      <c r="Z97" s="122"/>
      <c r="AA97" s="134" t="s">
        <v>97</v>
      </c>
      <c r="AB97" s="141">
        <v>0.26809651474530832</v>
      </c>
      <c r="AC97" s="134" t="s">
        <v>96</v>
      </c>
      <c r="AD97" s="143">
        <v>0.18987341772151897</v>
      </c>
    </row>
    <row r="98" spans="11:30" x14ac:dyDescent="0.25">
      <c r="K98" s="134" t="s">
        <v>74</v>
      </c>
      <c r="L98" s="135">
        <v>3.2898102398459116E-3</v>
      </c>
      <c r="M98" s="136" t="s">
        <v>80</v>
      </c>
      <c r="N98" s="137">
        <v>8.5075789622430439E-3</v>
      </c>
      <c r="O98" s="115"/>
      <c r="P98" s="138" t="s">
        <v>74</v>
      </c>
      <c r="Q98" s="139">
        <v>0.21691973969631237</v>
      </c>
      <c r="R98" s="138" t="s">
        <v>80</v>
      </c>
      <c r="S98" s="140">
        <v>0.12776831345826234</v>
      </c>
      <c r="T98" s="115"/>
      <c r="U98" s="115"/>
      <c r="V98" s="134" t="s">
        <v>99</v>
      </c>
      <c r="W98" s="141">
        <v>3.2766228704203862E-3</v>
      </c>
      <c r="X98" s="134" t="s">
        <v>106</v>
      </c>
      <c r="Y98" s="142">
        <v>8.4120947365309926E-3</v>
      </c>
      <c r="Z98" s="122"/>
      <c r="AA98" s="134" t="s">
        <v>99</v>
      </c>
      <c r="AB98" s="141">
        <v>0.26809651474530832</v>
      </c>
      <c r="AC98" s="134" t="s">
        <v>106</v>
      </c>
      <c r="AD98" s="143">
        <v>0.18987341772151897</v>
      </c>
    </row>
    <row r="99" spans="11:30" x14ac:dyDescent="0.25">
      <c r="K99" s="134" t="s">
        <v>93</v>
      </c>
      <c r="L99" s="135">
        <v>3.2898102398459116E-3</v>
      </c>
      <c r="M99" s="136" t="s">
        <v>95</v>
      </c>
      <c r="N99" s="137">
        <v>8.5075789622430439E-3</v>
      </c>
      <c r="O99" s="115"/>
      <c r="P99" s="138" t="s">
        <v>93</v>
      </c>
      <c r="Q99" s="139">
        <v>0.21691973969631237</v>
      </c>
      <c r="R99" s="138" t="s">
        <v>95</v>
      </c>
      <c r="S99" s="140">
        <v>0.12776831345826234</v>
      </c>
      <c r="T99" s="115"/>
      <c r="U99" s="115"/>
      <c r="V99" s="134" t="s">
        <v>100</v>
      </c>
      <c r="W99" s="141">
        <v>3.2766228704203862E-3</v>
      </c>
      <c r="X99" s="134" t="s">
        <v>68</v>
      </c>
      <c r="Y99" s="142">
        <v>5.6080631576873293E-3</v>
      </c>
      <c r="Z99" s="122"/>
      <c r="AA99" s="134" t="s">
        <v>100</v>
      </c>
      <c r="AB99" s="141">
        <v>0.26809651474530832</v>
      </c>
      <c r="AC99" s="134" t="s">
        <v>68</v>
      </c>
      <c r="AD99" s="143">
        <v>0.12658227848101267</v>
      </c>
    </row>
    <row r="100" spans="11:30" x14ac:dyDescent="0.25">
      <c r="K100" s="134" t="s">
        <v>102</v>
      </c>
      <c r="L100" s="135">
        <v>3.2898102398459116E-3</v>
      </c>
      <c r="M100" s="136" t="s">
        <v>64</v>
      </c>
      <c r="N100" s="137">
        <v>5.6717193081620302E-3</v>
      </c>
      <c r="O100" s="115"/>
      <c r="P100" s="138" t="s">
        <v>102</v>
      </c>
      <c r="Q100" s="139">
        <v>0.21691973969631237</v>
      </c>
      <c r="R100" s="138" t="s">
        <v>64</v>
      </c>
      <c r="S100" s="140">
        <v>8.5178875638841564E-2</v>
      </c>
      <c r="T100" s="115"/>
      <c r="U100" s="115"/>
      <c r="V100" s="134" t="s">
        <v>64</v>
      </c>
      <c r="W100" s="141">
        <v>0</v>
      </c>
      <c r="X100" s="134" t="s">
        <v>97</v>
      </c>
      <c r="Y100" s="142">
        <v>5.6080631576873293E-3</v>
      </c>
      <c r="Z100" s="122"/>
      <c r="AA100" s="134" t="s">
        <v>64</v>
      </c>
      <c r="AB100" s="141">
        <v>0</v>
      </c>
      <c r="AC100" s="134" t="s">
        <v>97</v>
      </c>
      <c r="AD100" s="143">
        <v>0.12658227848101267</v>
      </c>
    </row>
    <row r="101" spans="11:30" x14ac:dyDescent="0.25">
      <c r="K101" s="134" t="s">
        <v>104</v>
      </c>
      <c r="L101" s="135">
        <v>3.2898102398459116E-3</v>
      </c>
      <c r="M101" s="136" t="s">
        <v>76</v>
      </c>
      <c r="N101" s="137">
        <v>5.6717193081620302E-3</v>
      </c>
      <c r="O101" s="115"/>
      <c r="P101" s="138" t="s">
        <v>104</v>
      </c>
      <c r="Q101" s="139">
        <v>0.21691973969631237</v>
      </c>
      <c r="R101" s="138" t="s">
        <v>76</v>
      </c>
      <c r="S101" s="140">
        <v>8.5178875638841564E-2</v>
      </c>
      <c r="T101" s="115"/>
      <c r="U101" s="115"/>
      <c r="V101" s="134" t="s">
        <v>65</v>
      </c>
      <c r="W101" s="141">
        <v>0</v>
      </c>
      <c r="X101" s="134" t="s">
        <v>101</v>
      </c>
      <c r="Y101" s="142">
        <v>5.6080631576873293E-3</v>
      </c>
      <c r="Z101" s="122"/>
      <c r="AA101" s="134" t="s">
        <v>65</v>
      </c>
      <c r="AB101" s="141">
        <v>0</v>
      </c>
      <c r="AC101" s="134" t="s">
        <v>101</v>
      </c>
      <c r="AD101" s="143">
        <v>0.12658227848101267</v>
      </c>
    </row>
    <row r="102" spans="11:30" x14ac:dyDescent="0.25">
      <c r="K102" s="134" t="s">
        <v>64</v>
      </c>
      <c r="L102" s="135">
        <v>0</v>
      </c>
      <c r="M102" s="136" t="s">
        <v>105</v>
      </c>
      <c r="N102" s="137">
        <v>5.6717193081620302E-3</v>
      </c>
      <c r="O102" s="115"/>
      <c r="P102" s="138" t="s">
        <v>64</v>
      </c>
      <c r="Q102" s="139">
        <v>0</v>
      </c>
      <c r="R102" s="138" t="s">
        <v>105</v>
      </c>
      <c r="S102" s="140">
        <v>8.5178875638841564E-2</v>
      </c>
      <c r="T102" s="115"/>
      <c r="U102" s="115"/>
      <c r="V102" s="134" t="s">
        <v>66</v>
      </c>
      <c r="W102" s="141">
        <v>0</v>
      </c>
      <c r="X102" s="134" t="s">
        <v>109</v>
      </c>
      <c r="Y102" s="142">
        <v>5.6080631576873293E-3</v>
      </c>
      <c r="Z102" s="122"/>
      <c r="AA102" s="134" t="s">
        <v>66</v>
      </c>
      <c r="AB102" s="141">
        <v>0</v>
      </c>
      <c r="AC102" s="134" t="s">
        <v>109</v>
      </c>
      <c r="AD102" s="143">
        <v>0.12658227848101267</v>
      </c>
    </row>
    <row r="103" spans="11:30" x14ac:dyDescent="0.25">
      <c r="K103" s="134" t="s">
        <v>65</v>
      </c>
      <c r="L103" s="135">
        <v>0</v>
      </c>
      <c r="M103" s="136" t="s">
        <v>66</v>
      </c>
      <c r="N103" s="137">
        <v>2.8358596540810151E-3</v>
      </c>
      <c r="O103" s="115"/>
      <c r="P103" s="138" t="s">
        <v>65</v>
      </c>
      <c r="Q103" s="139">
        <v>0</v>
      </c>
      <c r="R103" s="138" t="s">
        <v>66</v>
      </c>
      <c r="S103" s="140">
        <v>4.2589437819420782E-2</v>
      </c>
      <c r="T103" s="115"/>
      <c r="U103" s="115"/>
      <c r="V103" s="134" t="s">
        <v>76</v>
      </c>
      <c r="W103" s="141">
        <v>0</v>
      </c>
      <c r="X103" s="134" t="s">
        <v>100</v>
      </c>
      <c r="Y103" s="142">
        <v>2.8040315788436646E-3</v>
      </c>
      <c r="Z103" s="122"/>
      <c r="AA103" s="134" t="s">
        <v>76</v>
      </c>
      <c r="AB103" s="141">
        <v>0</v>
      </c>
      <c r="AC103" s="134" t="s">
        <v>100</v>
      </c>
      <c r="AD103" s="143">
        <v>6.3291139240506333E-2</v>
      </c>
    </row>
    <row r="104" spans="11:30" x14ac:dyDescent="0.25">
      <c r="K104" s="134" t="s">
        <v>66</v>
      </c>
      <c r="L104" s="135">
        <v>0</v>
      </c>
      <c r="M104" s="136" t="s">
        <v>102</v>
      </c>
      <c r="N104" s="137">
        <v>2.8358596540810151E-3</v>
      </c>
      <c r="O104" s="115"/>
      <c r="P104" s="138" t="s">
        <v>66</v>
      </c>
      <c r="Q104" s="139">
        <v>0</v>
      </c>
      <c r="R104" s="138" t="s">
        <v>102</v>
      </c>
      <c r="S104" s="140">
        <v>4.2589437819420782E-2</v>
      </c>
      <c r="T104" s="115"/>
      <c r="U104" s="115"/>
      <c r="V104" s="134" t="s">
        <v>77</v>
      </c>
      <c r="W104" s="141">
        <v>0</v>
      </c>
      <c r="X104" s="134" t="s">
        <v>105</v>
      </c>
      <c r="Y104" s="142">
        <v>2.8040315788436646E-3</v>
      </c>
      <c r="Z104" s="122"/>
      <c r="AA104" s="134" t="s">
        <v>77</v>
      </c>
      <c r="AB104" s="141">
        <v>0</v>
      </c>
      <c r="AC104" s="134" t="s">
        <v>105</v>
      </c>
      <c r="AD104" s="143">
        <v>6.3291139240506333E-2</v>
      </c>
    </row>
    <row r="105" spans="11:30" x14ac:dyDescent="0.25">
      <c r="K105" s="134" t="s">
        <v>76</v>
      </c>
      <c r="L105" s="135">
        <v>0</v>
      </c>
      <c r="M105" s="136" t="s">
        <v>104</v>
      </c>
      <c r="N105" s="137">
        <v>2.8358596540810151E-3</v>
      </c>
      <c r="O105" s="115"/>
      <c r="P105" s="138" t="s">
        <v>76</v>
      </c>
      <c r="Q105" s="139">
        <v>0</v>
      </c>
      <c r="R105" s="138" t="s">
        <v>104</v>
      </c>
      <c r="S105" s="140">
        <v>4.2589437819420782E-2</v>
      </c>
      <c r="T105" s="115"/>
      <c r="U105" s="115"/>
      <c r="V105" s="134" t="s">
        <v>92</v>
      </c>
      <c r="W105" s="141">
        <v>0</v>
      </c>
      <c r="X105" s="134" t="s">
        <v>64</v>
      </c>
      <c r="Y105" s="142">
        <v>0</v>
      </c>
      <c r="Z105" s="122"/>
      <c r="AA105" s="134" t="s">
        <v>92</v>
      </c>
      <c r="AB105" s="141">
        <v>0</v>
      </c>
      <c r="AC105" s="134" t="s">
        <v>64</v>
      </c>
      <c r="AD105" s="143">
        <v>0</v>
      </c>
    </row>
    <row r="106" spans="11:30" x14ac:dyDescent="0.25">
      <c r="K106" s="134" t="s">
        <v>78</v>
      </c>
      <c r="L106" s="135">
        <v>0</v>
      </c>
      <c r="M106" s="136" t="s">
        <v>75</v>
      </c>
      <c r="N106" s="137">
        <v>0</v>
      </c>
      <c r="O106" s="115"/>
      <c r="P106" s="138" t="s">
        <v>78</v>
      </c>
      <c r="Q106" s="139">
        <v>0</v>
      </c>
      <c r="R106" s="138" t="s">
        <v>75</v>
      </c>
      <c r="S106" s="140">
        <v>0</v>
      </c>
      <c r="T106" s="115"/>
      <c r="U106" s="115"/>
      <c r="V106" s="134" t="s">
        <v>95</v>
      </c>
      <c r="W106" s="141">
        <v>0</v>
      </c>
      <c r="X106" s="134" t="s">
        <v>66</v>
      </c>
      <c r="Y106" s="142">
        <v>0</v>
      </c>
      <c r="Z106" s="122"/>
      <c r="AA106" s="134" t="s">
        <v>95</v>
      </c>
      <c r="AB106" s="141">
        <v>0</v>
      </c>
      <c r="AC106" s="134" t="s">
        <v>66</v>
      </c>
      <c r="AD106" s="143">
        <v>0</v>
      </c>
    </row>
    <row r="107" spans="11:30" x14ac:dyDescent="0.25">
      <c r="K107" s="134" t="s">
        <v>83</v>
      </c>
      <c r="L107" s="135">
        <v>0</v>
      </c>
      <c r="M107" s="136" t="s">
        <v>83</v>
      </c>
      <c r="N107" s="137">
        <v>0</v>
      </c>
      <c r="O107" s="115"/>
      <c r="P107" s="138" t="s">
        <v>83</v>
      </c>
      <c r="Q107" s="139">
        <v>0</v>
      </c>
      <c r="R107" s="138" t="s">
        <v>83</v>
      </c>
      <c r="S107" s="140">
        <v>0</v>
      </c>
      <c r="T107" s="115"/>
      <c r="U107" s="115"/>
      <c r="V107" s="134" t="s">
        <v>96</v>
      </c>
      <c r="W107" s="141">
        <v>0</v>
      </c>
      <c r="X107" s="134" t="s">
        <v>75</v>
      </c>
      <c r="Y107" s="142">
        <v>0</v>
      </c>
      <c r="Z107" s="122"/>
      <c r="AA107" s="134" t="s">
        <v>96</v>
      </c>
      <c r="AB107" s="141">
        <v>0</v>
      </c>
      <c r="AC107" s="134" t="s">
        <v>75</v>
      </c>
      <c r="AD107" s="143">
        <v>0</v>
      </c>
    </row>
    <row r="108" spans="11:30" x14ac:dyDescent="0.25">
      <c r="K108" s="134" t="s">
        <v>89</v>
      </c>
      <c r="L108" s="135">
        <v>0</v>
      </c>
      <c r="M108" s="136" t="s">
        <v>89</v>
      </c>
      <c r="N108" s="137">
        <v>0</v>
      </c>
      <c r="O108" s="115"/>
      <c r="P108" s="138" t="s">
        <v>89</v>
      </c>
      <c r="Q108" s="139">
        <v>0</v>
      </c>
      <c r="R108" s="138" t="s">
        <v>89</v>
      </c>
      <c r="S108" s="140">
        <v>0</v>
      </c>
      <c r="T108" s="115"/>
      <c r="U108" s="115"/>
      <c r="V108" s="134" t="s">
        <v>102</v>
      </c>
      <c r="W108" s="141">
        <v>0</v>
      </c>
      <c r="X108" s="134" t="s">
        <v>89</v>
      </c>
      <c r="Y108" s="142">
        <v>0</v>
      </c>
      <c r="Z108" s="122"/>
      <c r="AA108" s="134" t="s">
        <v>102</v>
      </c>
      <c r="AB108" s="141">
        <v>0</v>
      </c>
      <c r="AC108" s="134" t="s">
        <v>89</v>
      </c>
      <c r="AD108" s="143">
        <v>0</v>
      </c>
    </row>
    <row r="109" spans="11:30" x14ac:dyDescent="0.25">
      <c r="K109" s="134" t="s">
        <v>92</v>
      </c>
      <c r="L109" s="135">
        <v>0</v>
      </c>
      <c r="M109" s="136" t="s">
        <v>96</v>
      </c>
      <c r="N109" s="137">
        <v>0</v>
      </c>
      <c r="O109" s="115"/>
      <c r="P109" s="138" t="s">
        <v>92</v>
      </c>
      <c r="Q109" s="139">
        <v>0</v>
      </c>
      <c r="R109" s="138" t="s">
        <v>96</v>
      </c>
      <c r="S109" s="140">
        <v>0</v>
      </c>
      <c r="T109" s="115"/>
      <c r="U109" s="115"/>
      <c r="V109" s="134" t="s">
        <v>104</v>
      </c>
      <c r="W109" s="141">
        <v>0</v>
      </c>
      <c r="X109" s="134" t="s">
        <v>95</v>
      </c>
      <c r="Y109" s="142">
        <v>0</v>
      </c>
      <c r="Z109" s="122"/>
      <c r="AA109" s="134" t="s">
        <v>104</v>
      </c>
      <c r="AB109" s="141">
        <v>0</v>
      </c>
      <c r="AC109" s="134" t="s">
        <v>95</v>
      </c>
      <c r="AD109" s="143">
        <v>0</v>
      </c>
    </row>
    <row r="110" spans="11:30" x14ac:dyDescent="0.25">
      <c r="K110" s="134" t="s">
        <v>96</v>
      </c>
      <c r="L110" s="135">
        <v>0</v>
      </c>
      <c r="M110" s="136" t="s">
        <v>97</v>
      </c>
      <c r="N110" s="137">
        <v>0</v>
      </c>
      <c r="O110" s="115"/>
      <c r="P110" s="138" t="s">
        <v>96</v>
      </c>
      <c r="Q110" s="139">
        <v>0</v>
      </c>
      <c r="R110" s="138" t="s">
        <v>97</v>
      </c>
      <c r="S110" s="140">
        <v>0</v>
      </c>
      <c r="T110" s="115"/>
      <c r="U110" s="115"/>
      <c r="V110" s="134" t="s">
        <v>105</v>
      </c>
      <c r="W110" s="141">
        <v>0</v>
      </c>
      <c r="X110" s="134" t="s">
        <v>102</v>
      </c>
      <c r="Y110" s="142">
        <v>0</v>
      </c>
      <c r="Z110" s="122"/>
      <c r="AA110" s="134" t="s">
        <v>105</v>
      </c>
      <c r="AB110" s="141">
        <v>0</v>
      </c>
      <c r="AC110" s="134" t="s">
        <v>102</v>
      </c>
      <c r="AD110" s="143">
        <v>0</v>
      </c>
    </row>
    <row r="111" spans="11:30" x14ac:dyDescent="0.25">
      <c r="K111" s="134" t="s">
        <v>97</v>
      </c>
      <c r="L111" s="135">
        <v>0</v>
      </c>
      <c r="M111" s="136" t="s">
        <v>100</v>
      </c>
      <c r="N111" s="137">
        <v>0</v>
      </c>
      <c r="O111" s="115"/>
      <c r="P111" s="138" t="s">
        <v>97</v>
      </c>
      <c r="Q111" s="139">
        <v>0</v>
      </c>
      <c r="R111" s="138" t="s">
        <v>100</v>
      </c>
      <c r="S111" s="140">
        <v>0</v>
      </c>
      <c r="T111" s="115"/>
      <c r="U111" s="115"/>
      <c r="V111" s="134" t="s">
        <v>108</v>
      </c>
      <c r="W111" s="141">
        <v>0</v>
      </c>
      <c r="X111" s="134" t="s">
        <v>104</v>
      </c>
      <c r="Y111" s="142">
        <v>0</v>
      </c>
      <c r="Z111" s="122"/>
      <c r="AA111" s="134" t="s">
        <v>108</v>
      </c>
      <c r="AB111" s="141">
        <v>0</v>
      </c>
      <c r="AC111" s="134" t="s">
        <v>104</v>
      </c>
      <c r="AD111" s="143">
        <v>0</v>
      </c>
    </row>
    <row r="112" spans="11:30" x14ac:dyDescent="0.25">
      <c r="K112" s="134" t="s">
        <v>109</v>
      </c>
      <c r="L112" s="135">
        <v>0</v>
      </c>
      <c r="M112" s="136" t="s">
        <v>109</v>
      </c>
      <c r="N112" s="137">
        <v>0</v>
      </c>
      <c r="O112" s="115"/>
      <c r="P112" s="138" t="s">
        <v>109</v>
      </c>
      <c r="Q112" s="139">
        <v>0</v>
      </c>
      <c r="R112" s="138" t="s">
        <v>109</v>
      </c>
      <c r="S112" s="140">
        <v>0</v>
      </c>
      <c r="T112" s="115"/>
      <c r="U112" s="115"/>
      <c r="V112" s="134" t="s">
        <v>109</v>
      </c>
      <c r="W112" s="141">
        <v>0</v>
      </c>
      <c r="X112" s="134" t="s">
        <v>108</v>
      </c>
      <c r="Y112" s="142">
        <v>0</v>
      </c>
      <c r="Z112" s="122"/>
      <c r="AA112" s="134" t="s">
        <v>109</v>
      </c>
      <c r="AB112" s="141">
        <v>0</v>
      </c>
      <c r="AC112" s="134" t="s">
        <v>108</v>
      </c>
      <c r="AD112" s="143">
        <v>0</v>
      </c>
    </row>
  </sheetData>
  <sortState ref="X66:Y112">
    <sortCondition descending="1" ref="Y66:Y112"/>
  </sortState>
  <mergeCells count="31">
    <mergeCell ref="X63:Y63"/>
    <mergeCell ref="AA63:AB63"/>
    <mergeCell ref="AC63:AD63"/>
    <mergeCell ref="E4:G4"/>
    <mergeCell ref="A1:B1"/>
    <mergeCell ref="K63:L63"/>
    <mergeCell ref="M63:N63"/>
    <mergeCell ref="P63:Q63"/>
    <mergeCell ref="R63:S63"/>
    <mergeCell ref="V63:W63"/>
    <mergeCell ref="A4:C4"/>
    <mergeCell ref="K3:S3"/>
    <mergeCell ref="K4:N4"/>
    <mergeCell ref="P4:S4"/>
    <mergeCell ref="V3:AD3"/>
    <mergeCell ref="V4:Y4"/>
    <mergeCell ref="AA4:AD4"/>
    <mergeCell ref="V5:W5"/>
    <mergeCell ref="X5:Y5"/>
    <mergeCell ref="AA5:AB5"/>
    <mergeCell ref="AC5:AD5"/>
    <mergeCell ref="V61:AD61"/>
    <mergeCell ref="K62:N62"/>
    <mergeCell ref="P62:S62"/>
    <mergeCell ref="K5:L5"/>
    <mergeCell ref="M5:N5"/>
    <mergeCell ref="P5:Q5"/>
    <mergeCell ref="R5:S5"/>
    <mergeCell ref="K61:S61"/>
    <mergeCell ref="V62:Y62"/>
    <mergeCell ref="AA62:AD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6"/>
  <sheetViews>
    <sheetView tabSelected="1" topLeftCell="N43" zoomScale="88" zoomScaleNormal="88" workbookViewId="0">
      <selection activeCell="P47" sqref="P47:AC65"/>
    </sheetView>
  </sheetViews>
  <sheetFormatPr baseColWidth="10" defaultRowHeight="15" x14ac:dyDescent="0.25"/>
  <cols>
    <col min="1" max="1" width="11.7109375" bestFit="1" customWidth="1"/>
    <col min="2" max="2" width="11.85546875" customWidth="1"/>
    <col min="3" max="3" width="11.7109375" bestFit="1" customWidth="1"/>
    <col min="4" max="4" width="13.28515625" bestFit="1" customWidth="1"/>
    <col min="5" max="5" width="15.7109375" customWidth="1"/>
    <col min="6" max="6" width="13.85546875" customWidth="1"/>
    <col min="7" max="8" width="13.140625" bestFit="1" customWidth="1"/>
    <col min="9" max="10" width="13" bestFit="1" customWidth="1"/>
    <col min="11" max="12" width="13.140625" bestFit="1" customWidth="1"/>
    <col min="13" max="13" width="13" bestFit="1" customWidth="1"/>
    <col min="14" max="14" width="13.140625" bestFit="1" customWidth="1"/>
    <col min="16" max="19" width="11.7109375" bestFit="1" customWidth="1"/>
    <col min="20" max="20" width="16.42578125" customWidth="1"/>
    <col min="21" max="21" width="15.140625" customWidth="1"/>
    <col min="22" max="24" width="13.140625" bestFit="1" customWidth="1"/>
    <col min="25" max="25" width="13" bestFit="1" customWidth="1"/>
    <col min="26" max="26" width="13.140625" bestFit="1" customWidth="1"/>
    <col min="27" max="27" width="12.42578125" customWidth="1"/>
    <col min="28" max="29" width="13.140625" bestFit="1" customWidth="1"/>
  </cols>
  <sheetData>
    <row r="1" spans="1:34" ht="18.75" x14ac:dyDescent="0.3">
      <c r="B1" s="175" t="s">
        <v>149</v>
      </c>
      <c r="C1" s="175"/>
      <c r="D1" s="175"/>
      <c r="E1" s="175"/>
    </row>
    <row r="3" spans="1:34" ht="15.75" customHeight="1" x14ac:dyDescent="0.25">
      <c r="A3" s="221" t="s">
        <v>117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P3" s="222" t="s">
        <v>134</v>
      </c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E3" s="216" t="s">
        <v>142</v>
      </c>
      <c r="AF3" s="217"/>
      <c r="AG3" s="217"/>
      <c r="AH3" s="218"/>
    </row>
    <row r="4" spans="1:34" ht="15.75" thickBot="1" x14ac:dyDescent="0.3">
      <c r="A4" s="211"/>
      <c r="B4" s="212"/>
      <c r="C4" s="212"/>
      <c r="D4" s="213"/>
      <c r="E4" s="87" t="s">
        <v>118</v>
      </c>
      <c r="F4" s="87"/>
      <c r="G4" s="87" t="s">
        <v>119</v>
      </c>
      <c r="H4" s="211"/>
      <c r="I4" s="212"/>
      <c r="J4" s="212"/>
      <c r="K4" s="212"/>
      <c r="L4" s="212"/>
      <c r="M4" s="212"/>
      <c r="N4" s="213"/>
      <c r="P4" s="76"/>
      <c r="Q4" s="76"/>
      <c r="R4" s="76"/>
      <c r="S4" s="76"/>
      <c r="T4" s="77" t="s">
        <v>147</v>
      </c>
      <c r="U4" s="76"/>
      <c r="V4" s="77" t="s">
        <v>119</v>
      </c>
      <c r="W4" s="76"/>
      <c r="X4" s="76"/>
      <c r="Y4" s="76"/>
      <c r="Z4" s="76"/>
      <c r="AA4" s="76"/>
      <c r="AB4" s="76"/>
      <c r="AC4" s="76"/>
      <c r="AE4" s="219">
        <v>2010</v>
      </c>
      <c r="AF4" s="220"/>
      <c r="AG4" s="219">
        <v>2020</v>
      </c>
      <c r="AH4" s="220"/>
    </row>
    <row r="5" spans="1:34" ht="15.75" thickBot="1" x14ac:dyDescent="0.3">
      <c r="A5" s="88" t="s">
        <v>120</v>
      </c>
      <c r="B5" s="88" t="s">
        <v>121</v>
      </c>
      <c r="C5" s="88" t="s">
        <v>122</v>
      </c>
      <c r="D5" s="88" t="s">
        <v>123</v>
      </c>
      <c r="E5" s="88" t="s">
        <v>124</v>
      </c>
      <c r="F5" s="88" t="s">
        <v>125</v>
      </c>
      <c r="G5" s="88" t="s">
        <v>126</v>
      </c>
      <c r="H5" s="88" t="s">
        <v>127</v>
      </c>
      <c r="I5" s="88" t="s">
        <v>128</v>
      </c>
      <c r="J5" s="88" t="s">
        <v>129</v>
      </c>
      <c r="K5" s="88" t="s">
        <v>130</v>
      </c>
      <c r="L5" s="88" t="s">
        <v>131</v>
      </c>
      <c r="M5" s="88" t="s">
        <v>132</v>
      </c>
      <c r="N5" s="88" t="s">
        <v>133</v>
      </c>
      <c r="P5" s="78" t="s">
        <v>120</v>
      </c>
      <c r="Q5" s="78" t="s">
        <v>121</v>
      </c>
      <c r="R5" s="78" t="s">
        <v>122</v>
      </c>
      <c r="S5" s="78" t="s">
        <v>123</v>
      </c>
      <c r="T5" s="78" t="s">
        <v>124</v>
      </c>
      <c r="U5" s="78" t="s">
        <v>125</v>
      </c>
      <c r="V5" s="78" t="s">
        <v>126</v>
      </c>
      <c r="W5" s="78" t="s">
        <v>127</v>
      </c>
      <c r="X5" s="78" t="s">
        <v>128</v>
      </c>
      <c r="Y5" s="78" t="s">
        <v>129</v>
      </c>
      <c r="Z5" s="78" t="s">
        <v>130</v>
      </c>
      <c r="AA5" s="78" t="s">
        <v>131</v>
      </c>
      <c r="AB5" s="78" t="s">
        <v>132</v>
      </c>
      <c r="AC5" s="78" t="s">
        <v>133</v>
      </c>
      <c r="AE5" s="73" t="s">
        <v>9</v>
      </c>
      <c r="AF5" s="74" t="s">
        <v>10</v>
      </c>
      <c r="AG5" s="73" t="s">
        <v>143</v>
      </c>
      <c r="AH5" s="74" t="s">
        <v>10</v>
      </c>
    </row>
    <row r="6" spans="1:34" ht="16.5" thickTop="1" thickBot="1" x14ac:dyDescent="0.3">
      <c r="A6" s="79">
        <v>0</v>
      </c>
      <c r="B6" s="79">
        <v>1</v>
      </c>
      <c r="C6" s="80">
        <v>0.5</v>
      </c>
      <c r="D6" s="89">
        <f>Defunciones!N8</f>
        <v>19.421286031042129</v>
      </c>
      <c r="E6" s="89">
        <f>Poblacion!M5</f>
        <v>3907.1772915946071</v>
      </c>
      <c r="F6" s="79">
        <f>D6/E6</f>
        <v>4.9706692534333052E-3</v>
      </c>
      <c r="G6" s="90">
        <f>Defunciones!AG5/1000</f>
        <v>1.2881684300934422E-2</v>
      </c>
      <c r="H6" s="79">
        <f>(B6*G6)/(1+((B6-C6)*G6))</f>
        <v>1.2799246375385626E-2</v>
      </c>
      <c r="I6" s="91">
        <f>1-H6</f>
        <v>0.98720075362461435</v>
      </c>
      <c r="J6" s="79">
        <v>100000</v>
      </c>
      <c r="K6" s="79">
        <f>J6*H6</f>
        <v>1279.9246375385626</v>
      </c>
      <c r="L6" s="80">
        <f>B6*J7+C6*K6</f>
        <v>99360.037681230708</v>
      </c>
      <c r="M6" s="80">
        <f>SUM(L6:L24)</f>
        <v>8267746.5171144521</v>
      </c>
      <c r="N6" s="79">
        <f>M6/J6</f>
        <v>82.677465171144519</v>
      </c>
      <c r="P6" s="78">
        <v>0</v>
      </c>
      <c r="Q6" s="79">
        <v>1</v>
      </c>
      <c r="R6" s="80">
        <v>0.5</v>
      </c>
      <c r="S6" s="81">
        <f>Defunciones!O8</f>
        <v>13.070080862533693</v>
      </c>
      <c r="T6" s="82">
        <f>Poblacion!N5</f>
        <v>3864.5627041459138</v>
      </c>
      <c r="U6" s="82">
        <f>S6/T6</f>
        <v>3.3820335864940356E-3</v>
      </c>
      <c r="V6" s="83">
        <f>Defunciones!AH5/1000</f>
        <v>8.8152523803059993E-3</v>
      </c>
      <c r="W6" s="82">
        <f>(Q6*V6)/(1+(Q6-R6)*V6)</f>
        <v>8.776568546918927E-3</v>
      </c>
      <c r="X6" s="82">
        <f>1-W6</f>
        <v>0.99122343145308112</v>
      </c>
      <c r="Y6" s="82">
        <v>100000</v>
      </c>
      <c r="Z6" s="82">
        <f>Y6*W6</f>
        <v>877.6568546918927</v>
      </c>
      <c r="AA6" s="82">
        <f>Q6*Y7+R6*Z6</f>
        <v>99561.171572654057</v>
      </c>
      <c r="AB6" s="82">
        <f>SUM(AA6:$AA$24)</f>
        <v>8648608.8093666136</v>
      </c>
      <c r="AC6" s="82">
        <f>AB6/Y6</f>
        <v>86.48608809366614</v>
      </c>
      <c r="AD6" s="72"/>
      <c r="AE6" s="75">
        <f>A22+((50000-J22)/(J22-J23))</f>
        <v>72.418688998304248</v>
      </c>
      <c r="AF6" s="75">
        <f>P23+((50000-Y23)/(Y23-Y24))</f>
        <v>78.221391682540244</v>
      </c>
      <c r="AG6" s="75">
        <f>A62+((50000-Y64)/(Y64-Y65))</f>
        <v>70.22118035254293</v>
      </c>
      <c r="AH6" s="75">
        <f>P64+((50000-Y64)/(Y64-Y65))</f>
        <v>80.22118035254293</v>
      </c>
    </row>
    <row r="7" spans="1:34" ht="16.5" thickTop="1" thickBot="1" x14ac:dyDescent="0.3">
      <c r="A7" s="79">
        <v>1</v>
      </c>
      <c r="B7" s="79">
        <v>4</v>
      </c>
      <c r="C7" s="80">
        <v>2</v>
      </c>
      <c r="D7" s="89">
        <f>Defunciones!N9</f>
        <v>5.1108647450110869</v>
      </c>
      <c r="E7" s="89">
        <f>Poblacion!M6</f>
        <v>18182.400551759696</v>
      </c>
      <c r="F7" s="79">
        <f t="shared" ref="F7:F24" si="0">D7/E7</f>
        <v>2.8108855761163268E-4</v>
      </c>
      <c r="G7" s="79">
        <f>F7</f>
        <v>2.8108855761163268E-4</v>
      </c>
      <c r="H7" s="79">
        <f t="shared" ref="H7:H23" si="1">(B7*G7)/(1+((B7-C7)*G7))</f>
        <v>1.1237224993735214E-3</v>
      </c>
      <c r="I7" s="91">
        <f t="shared" ref="I7:I9" si="2">1-H7</f>
        <v>0.99887627750062646</v>
      </c>
      <c r="J7" s="89">
        <f>J6*I6</f>
        <v>98720.07536246143</v>
      </c>
      <c r="K7" s="79">
        <f t="shared" ref="K7:K22" si="3">J7*H7</f>
        <v>110.93396982464755</v>
      </c>
      <c r="L7" s="80">
        <f t="shared" ref="L7:L21" si="4">B7*J8+C7*K7</f>
        <v>394658.4335101964</v>
      </c>
      <c r="M7" s="80">
        <f>SUM(L7:$L$24)</f>
        <v>8168386.4794332217</v>
      </c>
      <c r="N7" s="79">
        <f t="shared" ref="N7:N23" si="5">M7/J7</f>
        <v>82.742911707088027</v>
      </c>
      <c r="P7" s="78">
        <v>1</v>
      </c>
      <c r="Q7" s="79">
        <v>4</v>
      </c>
      <c r="R7" s="80">
        <v>2</v>
      </c>
      <c r="S7" s="81">
        <f>Defunciones!O9</f>
        <v>1.0053908355795149</v>
      </c>
      <c r="T7" s="82">
        <f>Poblacion!N6</f>
        <v>17457.318792316153</v>
      </c>
      <c r="U7" s="82">
        <f t="shared" ref="U7:U24" si="6">S7/T7</f>
        <v>5.7591365978951942E-5</v>
      </c>
      <c r="V7" s="82">
        <f>U7</f>
        <v>5.7591365978951942E-5</v>
      </c>
      <c r="W7" s="82">
        <f t="shared" ref="W7:W23" si="7">(Q7*V7)/(1+(Q7-R7)*V7)</f>
        <v>2.3033893284824604E-4</v>
      </c>
      <c r="X7" s="82">
        <f t="shared" ref="X7:X24" si="8">1-W7</f>
        <v>0.9997696610671517</v>
      </c>
      <c r="Y7" s="81">
        <f>Y6*X6</f>
        <v>99122.343145308114</v>
      </c>
      <c r="Z7" s="82">
        <f t="shared" ref="Z7:Z24" si="9">Y7*W7</f>
        <v>22.831734741507926</v>
      </c>
      <c r="AA7" s="82">
        <f t="shared" ref="AA7:AA23" si="10">Q7*Y8+R7*Z7</f>
        <v>396443.70911174943</v>
      </c>
      <c r="AB7" s="82">
        <f>SUM(AA7:$AA$24)</f>
        <v>8549047.6377939582</v>
      </c>
      <c r="AC7" s="82">
        <f t="shared" ref="AC7:AC24" si="11">AB7/Y7</f>
        <v>86.24743288464748</v>
      </c>
      <c r="AD7" s="72"/>
      <c r="AE7" s="72"/>
      <c r="AF7" s="72"/>
      <c r="AG7" s="72"/>
      <c r="AH7" s="72"/>
    </row>
    <row r="8" spans="1:34" ht="16.5" thickTop="1" thickBot="1" x14ac:dyDescent="0.3">
      <c r="A8" s="79">
        <v>5</v>
      </c>
      <c r="B8" s="79">
        <v>5</v>
      </c>
      <c r="C8" s="80">
        <v>2.5</v>
      </c>
      <c r="D8" s="89">
        <f>Defunciones!N10</f>
        <v>3.0665188470066518</v>
      </c>
      <c r="E8" s="89">
        <f>Poblacion!M7</f>
        <v>23465.682304423815</v>
      </c>
      <c r="F8" s="79">
        <f t="shared" si="0"/>
        <v>1.3068100075779783E-4</v>
      </c>
      <c r="G8" s="79">
        <f t="shared" ref="G8:G24" si="12">F8</f>
        <v>1.3068100075779783E-4</v>
      </c>
      <c r="H8" s="79">
        <f t="shared" si="1"/>
        <v>6.531916044575963E-4</v>
      </c>
      <c r="I8" s="91">
        <f t="shared" si="2"/>
        <v>0.99934680839554235</v>
      </c>
      <c r="J8" s="89">
        <f t="shared" ref="J8:J24" si="13">J7*I7</f>
        <v>98609.141392636782</v>
      </c>
      <c r="K8" s="79">
        <f t="shared" si="3"/>
        <v>64.410663280442392</v>
      </c>
      <c r="L8" s="80">
        <f t="shared" si="4"/>
        <v>492884.68030498282</v>
      </c>
      <c r="M8" s="80">
        <f>SUM(L8:$L$24)</f>
        <v>7773728.0459230253</v>
      </c>
      <c r="N8" s="79">
        <f t="shared" si="5"/>
        <v>78.833746406633807</v>
      </c>
      <c r="P8" s="78">
        <v>5</v>
      </c>
      <c r="Q8" s="79">
        <v>5</v>
      </c>
      <c r="R8" s="80">
        <v>2.5</v>
      </c>
      <c r="S8" s="81">
        <f>Defunciones!O10</f>
        <v>2.0107816711590298</v>
      </c>
      <c r="T8" s="82">
        <f>Poblacion!N7</f>
        <v>22393.196309981347</v>
      </c>
      <c r="U8" s="82">
        <f t="shared" si="6"/>
        <v>8.9794312670887528E-5</v>
      </c>
      <c r="V8" s="82">
        <f t="shared" ref="V8:V24" si="14">U8</f>
        <v>8.9794312670887528E-5</v>
      </c>
      <c r="W8" s="82">
        <f t="shared" si="7"/>
        <v>4.4887079824242217E-4</v>
      </c>
      <c r="X8" s="82">
        <f t="shared" si="8"/>
        <v>0.99955112920175759</v>
      </c>
      <c r="Y8" s="81">
        <f t="shared" ref="Y8:Y23" si="15">Y7*X7</f>
        <v>99099.5114105666</v>
      </c>
      <c r="Z8" s="82">
        <f t="shared" si="9"/>
        <v>44.482876792295052</v>
      </c>
      <c r="AA8" s="82">
        <f t="shared" si="10"/>
        <v>495386.34986085229</v>
      </c>
      <c r="AB8" s="82">
        <f>SUM(AA8:$AA$24)</f>
        <v>8152603.9286822109</v>
      </c>
      <c r="AC8" s="82">
        <f t="shared" si="11"/>
        <v>82.266842819296983</v>
      </c>
    </row>
    <row r="9" spans="1:34" ht="16.5" thickTop="1" thickBot="1" x14ac:dyDescent="0.3">
      <c r="A9" s="79">
        <v>10</v>
      </c>
      <c r="B9" s="79">
        <v>5</v>
      </c>
      <c r="C9" s="80">
        <v>2.5</v>
      </c>
      <c r="D9" s="89">
        <f>Defunciones!N11</f>
        <v>1.0221729490022173</v>
      </c>
      <c r="E9" s="89">
        <f>Poblacion!M8</f>
        <v>22922.623482507068</v>
      </c>
      <c r="F9" s="79">
        <f t="shared" si="0"/>
        <v>4.4592319451666071E-5</v>
      </c>
      <c r="G9" s="79">
        <f t="shared" si="12"/>
        <v>4.4592319451666071E-5</v>
      </c>
      <c r="H9" s="79">
        <f t="shared" si="1"/>
        <v>2.2293674409205519E-4</v>
      </c>
      <c r="I9" s="91">
        <f t="shared" si="2"/>
        <v>0.99977706325590798</v>
      </c>
      <c r="J9" s="89">
        <f t="shared" si="13"/>
        <v>98544.730729356335</v>
      </c>
      <c r="K9" s="79">
        <f t="shared" si="3"/>
        <v>21.969241416231</v>
      </c>
      <c r="L9" s="80">
        <f t="shared" si="4"/>
        <v>492668.73054324108</v>
      </c>
      <c r="M9" s="80">
        <f>SUM(L9:$L$24)</f>
        <v>7280843.3656180426</v>
      </c>
      <c r="N9" s="79">
        <f t="shared" si="5"/>
        <v>73.883639558711479</v>
      </c>
      <c r="P9" s="78">
        <v>10</v>
      </c>
      <c r="Q9" s="79">
        <v>5</v>
      </c>
      <c r="R9" s="80">
        <v>2.5</v>
      </c>
      <c r="S9" s="81">
        <f>Defunciones!O11</f>
        <v>4.0215633423180597</v>
      </c>
      <c r="T9" s="82">
        <f>Poblacion!N8</f>
        <v>22310.888876533452</v>
      </c>
      <c r="U9" s="82">
        <f t="shared" si="6"/>
        <v>1.8025114842232627E-4</v>
      </c>
      <c r="V9" s="82">
        <f t="shared" si="14"/>
        <v>1.8025114842232627E-4</v>
      </c>
      <c r="W9" s="82">
        <f t="shared" si="7"/>
        <v>9.0084979408678093E-4</v>
      </c>
      <c r="X9" s="82">
        <f t="shared" si="8"/>
        <v>0.99909915020591322</v>
      </c>
      <c r="Y9" s="81">
        <f t="shared" si="15"/>
        <v>99055.028533774312</v>
      </c>
      <c r="Z9" s="82">
        <f t="shared" si="9"/>
        <v>89.233702057910804</v>
      </c>
      <c r="AA9" s="82">
        <f t="shared" si="10"/>
        <v>495052.05841372674</v>
      </c>
      <c r="AB9" s="82">
        <f>SUM(AA9:$AA$24)</f>
        <v>7657217.5788213583</v>
      </c>
      <c r="AC9" s="82">
        <f t="shared" si="11"/>
        <v>77.302663904745771</v>
      </c>
    </row>
    <row r="10" spans="1:34" ht="16.5" thickTop="1" thickBot="1" x14ac:dyDescent="0.3">
      <c r="A10" s="79">
        <v>15</v>
      </c>
      <c r="B10" s="79">
        <v>5</v>
      </c>
      <c r="C10" s="80">
        <v>2.5</v>
      </c>
      <c r="D10" s="89">
        <f>Defunciones!N12</f>
        <v>13.288248337028826</v>
      </c>
      <c r="E10" s="89">
        <f>Poblacion!M9</f>
        <v>23496.644453558081</v>
      </c>
      <c r="F10" s="79">
        <f t="shared" si="0"/>
        <v>5.6553812878658066E-4</v>
      </c>
      <c r="G10" s="79">
        <f t="shared" si="12"/>
        <v>5.6553812878658066E-4</v>
      </c>
      <c r="H10" s="79">
        <f t="shared" si="1"/>
        <v>2.8236983712001374E-3</v>
      </c>
      <c r="I10" s="91">
        <f>1-H10</f>
        <v>0.99717630162879989</v>
      </c>
      <c r="J10" s="89">
        <f t="shared" si="13"/>
        <v>98522.761487940108</v>
      </c>
      <c r="K10" s="79">
        <f t="shared" si="3"/>
        <v>278.19856113963613</v>
      </c>
      <c r="L10" s="80">
        <f t="shared" si="4"/>
        <v>491918.31103685143</v>
      </c>
      <c r="M10" s="80">
        <f>SUM(L10:$L$24)</f>
        <v>6788174.6350748017</v>
      </c>
      <c r="N10" s="79">
        <f t="shared" si="5"/>
        <v>68.899557143510663</v>
      </c>
      <c r="P10" s="78">
        <v>15</v>
      </c>
      <c r="Q10" s="79">
        <v>5</v>
      </c>
      <c r="R10" s="80">
        <v>2.5</v>
      </c>
      <c r="S10" s="81">
        <f>Defunciones!O12</f>
        <v>3.0161725067385445</v>
      </c>
      <c r="T10" s="82">
        <f>Poblacion!N9</f>
        <v>23208.308230709263</v>
      </c>
      <c r="U10" s="82">
        <f t="shared" si="6"/>
        <v>1.2996089489829946E-4</v>
      </c>
      <c r="V10" s="82">
        <f t="shared" si="14"/>
        <v>1.2996089489829946E-4</v>
      </c>
      <c r="W10" s="82">
        <f t="shared" si="7"/>
        <v>6.4959342013599496E-4</v>
      </c>
      <c r="X10" s="82">
        <f t="shared" si="8"/>
        <v>0.99935040657986396</v>
      </c>
      <c r="Y10" s="81">
        <f t="shared" si="15"/>
        <v>98965.794831716397</v>
      </c>
      <c r="Z10" s="82">
        <f t="shared" si="9"/>
        <v>64.287529141211834</v>
      </c>
      <c r="AA10" s="82">
        <f t="shared" si="10"/>
        <v>494668.25533572893</v>
      </c>
      <c r="AB10" s="82">
        <f>SUM(AA10:$AA$24)</f>
        <v>7162165.520407632</v>
      </c>
      <c r="AC10" s="82">
        <f t="shared" si="11"/>
        <v>72.370110628488717</v>
      </c>
    </row>
    <row r="11" spans="1:34" ht="16.5" thickTop="1" thickBot="1" x14ac:dyDescent="0.3">
      <c r="A11" s="79">
        <v>20</v>
      </c>
      <c r="B11" s="79">
        <v>5</v>
      </c>
      <c r="C11" s="80">
        <v>2.5</v>
      </c>
      <c r="D11" s="89">
        <f>Defunciones!N13</f>
        <v>17.376940133037696</v>
      </c>
      <c r="E11" s="89">
        <f>Poblacion!M10</f>
        <v>22924.811474886879</v>
      </c>
      <c r="F11" s="79">
        <f t="shared" si="0"/>
        <v>7.579970789322899E-4</v>
      </c>
      <c r="G11" s="79">
        <f t="shared" si="12"/>
        <v>7.579970789322899E-4</v>
      </c>
      <c r="H11" s="79">
        <f t="shared" si="1"/>
        <v>3.7828169841012393E-3</v>
      </c>
      <c r="I11" s="91">
        <f t="shared" ref="I11:I24" si="16">1-H11</f>
        <v>0.99621718301589879</v>
      </c>
      <c r="J11" s="89">
        <f t="shared" si="13"/>
        <v>98244.56292680047</v>
      </c>
      <c r="K11" s="79">
        <f t="shared" si="3"/>
        <v>371.64120123510378</v>
      </c>
      <c r="L11" s="80">
        <f t="shared" si="4"/>
        <v>490293.71163091453</v>
      </c>
      <c r="M11" s="80">
        <f>SUM(L11:$L$24)</f>
        <v>6296256.3240379505</v>
      </c>
      <c r="N11" s="79">
        <f t="shared" si="5"/>
        <v>64.087580385788186</v>
      </c>
      <c r="P11" s="78">
        <v>20</v>
      </c>
      <c r="Q11" s="79">
        <v>5</v>
      </c>
      <c r="R11" s="80">
        <v>2.5</v>
      </c>
      <c r="S11" s="81">
        <f>Defunciones!O13</f>
        <v>10.05390835579515</v>
      </c>
      <c r="T11" s="82">
        <f>Poblacion!N10</f>
        <v>23019.882440906371</v>
      </c>
      <c r="U11" s="82">
        <f t="shared" si="6"/>
        <v>4.3674890093831829E-4</v>
      </c>
      <c r="V11" s="82">
        <f t="shared" si="14"/>
        <v>4.3674890093831829E-4</v>
      </c>
      <c r="W11" s="82">
        <f t="shared" si="7"/>
        <v>2.1813627352486723E-3</v>
      </c>
      <c r="X11" s="82">
        <f t="shared" si="8"/>
        <v>0.99781863726475128</v>
      </c>
      <c r="Y11" s="81">
        <f t="shared" si="15"/>
        <v>98901.507302575177</v>
      </c>
      <c r="Z11" s="82">
        <f t="shared" si="9"/>
        <v>215.74006248976193</v>
      </c>
      <c r="AA11" s="82">
        <f t="shared" si="10"/>
        <v>493968.18635665142</v>
      </c>
      <c r="AB11" s="82">
        <f>SUM(AA11:$AA$24)</f>
        <v>6667497.2650719024</v>
      </c>
      <c r="AC11" s="82">
        <f t="shared" si="11"/>
        <v>67.415527294984869</v>
      </c>
    </row>
    <row r="12" spans="1:34" ht="16.5" thickTop="1" thickBot="1" x14ac:dyDescent="0.3">
      <c r="A12" s="79">
        <v>25</v>
      </c>
      <c r="B12" s="79">
        <v>5</v>
      </c>
      <c r="C12" s="80">
        <v>2.5</v>
      </c>
      <c r="D12" s="89">
        <f>Defunciones!N14</f>
        <v>22.487804878048781</v>
      </c>
      <c r="E12" s="89">
        <f>Poblacion!M11</f>
        <v>20143.50376765725</v>
      </c>
      <c r="F12" s="79">
        <f t="shared" si="0"/>
        <v>1.1163800070450296E-3</v>
      </c>
      <c r="G12" s="79">
        <f t="shared" si="12"/>
        <v>1.1163800070450296E-3</v>
      </c>
      <c r="H12" s="79">
        <f t="shared" si="1"/>
        <v>5.5663645898749985E-3</v>
      </c>
      <c r="I12" s="91">
        <f t="shared" si="16"/>
        <v>0.99443363541012497</v>
      </c>
      <c r="J12" s="89">
        <f t="shared" si="13"/>
        <v>97872.921725565364</v>
      </c>
      <c r="K12" s="79">
        <f t="shared" si="3"/>
        <v>544.79636580079443</v>
      </c>
      <c r="L12" s="80">
        <f t="shared" si="4"/>
        <v>488002.61771332484</v>
      </c>
      <c r="M12" s="80">
        <f>SUM(L12:$L$24)</f>
        <v>5805962.6124070352</v>
      </c>
      <c r="N12" s="79">
        <f t="shared" si="5"/>
        <v>59.321439577403162</v>
      </c>
      <c r="P12" s="78">
        <v>25</v>
      </c>
      <c r="Q12" s="79">
        <v>5</v>
      </c>
      <c r="R12" s="80">
        <v>2.5</v>
      </c>
      <c r="S12" s="81">
        <f>Defunciones!O14</f>
        <v>6.0323450134770891</v>
      </c>
      <c r="T12" s="82">
        <f>Poblacion!N11</f>
        <v>21174.039426968884</v>
      </c>
      <c r="U12" s="82">
        <f t="shared" si="6"/>
        <v>2.8489344389308308E-4</v>
      </c>
      <c r="V12" s="82">
        <f t="shared" si="14"/>
        <v>2.8489344389308308E-4</v>
      </c>
      <c r="W12" s="82">
        <f t="shared" si="7"/>
        <v>1.423453388120508E-3</v>
      </c>
      <c r="X12" s="82">
        <f t="shared" si="8"/>
        <v>0.99857654661187945</v>
      </c>
      <c r="Y12" s="81">
        <f t="shared" si="15"/>
        <v>98685.767240085406</v>
      </c>
      <c r="Z12" s="82">
        <f t="shared" si="9"/>
        <v>140.47458973717141</v>
      </c>
      <c r="AA12" s="82">
        <f t="shared" si="10"/>
        <v>493077.64972608408</v>
      </c>
      <c r="AB12" s="82">
        <f>SUM(AA12:$AA$24)</f>
        <v>6173529.0787152508</v>
      </c>
      <c r="AC12" s="82">
        <f t="shared" si="11"/>
        <v>62.557441172809874</v>
      </c>
    </row>
    <row r="13" spans="1:34" ht="16.5" thickTop="1" thickBot="1" x14ac:dyDescent="0.3">
      <c r="A13" s="79">
        <v>30</v>
      </c>
      <c r="B13" s="79">
        <v>5</v>
      </c>
      <c r="C13" s="80">
        <v>2.5</v>
      </c>
      <c r="D13" s="89">
        <f>Defunciones!N15</f>
        <v>18.399113082039911</v>
      </c>
      <c r="E13" s="89">
        <f>Poblacion!M12</f>
        <v>18231.488428576609</v>
      </c>
      <c r="F13" s="79">
        <f t="shared" si="0"/>
        <v>1.0091942385351577E-3</v>
      </c>
      <c r="G13" s="79">
        <f t="shared" si="12"/>
        <v>1.0091942385351577E-3</v>
      </c>
      <c r="H13" s="79">
        <f t="shared" si="1"/>
        <v>5.0332723191122229E-3</v>
      </c>
      <c r="I13" s="91">
        <f t="shared" si="16"/>
        <v>0.99496672768088779</v>
      </c>
      <c r="J13" s="89">
        <f t="shared" si="13"/>
        <v>97328.12535976457</v>
      </c>
      <c r="K13" s="79">
        <f t="shared" si="3"/>
        <v>489.87895924438737</v>
      </c>
      <c r="L13" s="80">
        <f t="shared" si="4"/>
        <v>485415.9294007119</v>
      </c>
      <c r="M13" s="80">
        <f>SUM(L13:$L$24)</f>
        <v>5317959.9946937095</v>
      </c>
      <c r="N13" s="79">
        <f t="shared" si="5"/>
        <v>54.639498860543689</v>
      </c>
      <c r="P13" s="78">
        <v>30</v>
      </c>
      <c r="Q13" s="79">
        <v>5</v>
      </c>
      <c r="R13" s="80">
        <v>2.5</v>
      </c>
      <c r="S13" s="81">
        <f>Defunciones!O15</f>
        <v>4.0215633423180597</v>
      </c>
      <c r="T13" s="82">
        <f>Poblacion!N12</f>
        <v>20298.270443908823</v>
      </c>
      <c r="U13" s="82">
        <f t="shared" si="6"/>
        <v>1.9812344866677371E-4</v>
      </c>
      <c r="V13" s="82">
        <f t="shared" si="14"/>
        <v>1.9812344866677371E-4</v>
      </c>
      <c r="W13" s="82">
        <f t="shared" si="7"/>
        <v>9.9012682498091174E-4</v>
      </c>
      <c r="X13" s="82">
        <f t="shared" si="8"/>
        <v>0.9990098731750191</v>
      </c>
      <c r="Y13" s="81">
        <f t="shared" si="15"/>
        <v>98545.29265034823</v>
      </c>
      <c r="Z13" s="82">
        <f t="shared" si="9"/>
        <v>97.572337728704071</v>
      </c>
      <c r="AA13" s="82">
        <f t="shared" si="10"/>
        <v>492482.53240741941</v>
      </c>
      <c r="AB13" s="82">
        <f>SUM(AA13:$AA$24)</f>
        <v>5680451.4289891664</v>
      </c>
      <c r="AC13" s="82">
        <f t="shared" si="11"/>
        <v>57.643052003956818</v>
      </c>
    </row>
    <row r="14" spans="1:34" ht="16.5" thickTop="1" thickBot="1" x14ac:dyDescent="0.3">
      <c r="A14" s="79">
        <v>35</v>
      </c>
      <c r="B14" s="79">
        <v>5</v>
      </c>
      <c r="C14" s="80">
        <v>2.5</v>
      </c>
      <c r="D14" s="89">
        <f>Defunciones!N16</f>
        <v>23.509977827050999</v>
      </c>
      <c r="E14" s="89">
        <f>Poblacion!M13</f>
        <v>17984.079446544551</v>
      </c>
      <c r="F14" s="79">
        <f t="shared" si="0"/>
        <v>1.3072661237363578E-3</v>
      </c>
      <c r="G14" s="79">
        <f t="shared" si="12"/>
        <v>1.3072661237363578E-3</v>
      </c>
      <c r="H14" s="79">
        <f t="shared" si="1"/>
        <v>6.515038396206283E-3</v>
      </c>
      <c r="I14" s="91">
        <f t="shared" si="16"/>
        <v>0.99348496160379374</v>
      </c>
      <c r="J14" s="89">
        <f t="shared" si="13"/>
        <v>96838.246400520176</v>
      </c>
      <c r="K14" s="79">
        <f t="shared" si="3"/>
        <v>630.9048935206738</v>
      </c>
      <c r="L14" s="80">
        <f t="shared" si="4"/>
        <v>482613.96976879926</v>
      </c>
      <c r="M14" s="80">
        <f>SUM(L14:$L$24)</f>
        <v>4832544.0652929982</v>
      </c>
      <c r="N14" s="79">
        <f t="shared" si="5"/>
        <v>49.903258732151514</v>
      </c>
      <c r="P14" s="78">
        <v>35</v>
      </c>
      <c r="Q14" s="79">
        <v>5</v>
      </c>
      <c r="R14" s="80">
        <v>2.5</v>
      </c>
      <c r="S14" s="81">
        <f>Defunciones!O16</f>
        <v>5.0269541778975748</v>
      </c>
      <c r="T14" s="82">
        <f>Poblacion!N13</f>
        <v>20433.987261411952</v>
      </c>
      <c r="U14" s="82">
        <f t="shared" si="6"/>
        <v>2.4600946029709042E-4</v>
      </c>
      <c r="V14" s="82">
        <f t="shared" si="14"/>
        <v>2.4600946029709042E-4</v>
      </c>
      <c r="W14" s="82">
        <f t="shared" si="7"/>
        <v>1.2292912582879539E-3</v>
      </c>
      <c r="X14" s="82">
        <f t="shared" si="8"/>
        <v>0.99877070874171203</v>
      </c>
      <c r="Y14" s="81">
        <f t="shared" si="15"/>
        <v>98447.720312619524</v>
      </c>
      <c r="Z14" s="82">
        <f t="shared" si="9"/>
        <v>121.02092197868062</v>
      </c>
      <c r="AA14" s="82">
        <f t="shared" si="10"/>
        <v>491936.04925815092</v>
      </c>
      <c r="AB14" s="82">
        <f>SUM(AA14:$AA$24)</f>
        <v>5187968.8965817466</v>
      </c>
      <c r="AC14" s="82">
        <f t="shared" si="11"/>
        <v>52.697704732089427</v>
      </c>
    </row>
    <row r="15" spans="1:34" ht="16.5" thickTop="1" thickBot="1" x14ac:dyDescent="0.3">
      <c r="A15" s="79">
        <v>40</v>
      </c>
      <c r="B15" s="79">
        <v>5</v>
      </c>
      <c r="C15" s="80">
        <v>2.5</v>
      </c>
      <c r="D15" s="89">
        <f>Defunciones!N17</f>
        <v>18.399113082039911</v>
      </c>
      <c r="E15" s="89">
        <f>Poblacion!M14</f>
        <v>16905.538939613187</v>
      </c>
      <c r="F15" s="79">
        <f t="shared" si="0"/>
        <v>1.0883482122493575E-3</v>
      </c>
      <c r="G15" s="79">
        <f t="shared" si="12"/>
        <v>1.0883482122493575E-3</v>
      </c>
      <c r="H15" s="79">
        <f t="shared" si="1"/>
        <v>5.4269749649941039E-3</v>
      </c>
      <c r="I15" s="91">
        <f t="shared" si="16"/>
        <v>0.99457302503500589</v>
      </c>
      <c r="J15" s="89">
        <f t="shared" si="13"/>
        <v>96207.34150699951</v>
      </c>
      <c r="K15" s="79">
        <f t="shared" si="3"/>
        <v>522.11483380712446</v>
      </c>
      <c r="L15" s="80">
        <f t="shared" si="4"/>
        <v>479731.42045047978</v>
      </c>
      <c r="M15" s="80">
        <f>SUM(L15:$L$24)</f>
        <v>4349930.0955241984</v>
      </c>
      <c r="N15" s="79">
        <f t="shared" si="5"/>
        <v>45.214118043244355</v>
      </c>
      <c r="P15" s="78">
        <v>40</v>
      </c>
      <c r="Q15" s="79">
        <v>5</v>
      </c>
      <c r="R15" s="80">
        <v>2.5</v>
      </c>
      <c r="S15" s="81">
        <f>Defunciones!O17</f>
        <v>12.064690026954178</v>
      </c>
      <c r="T15" s="82">
        <f>Poblacion!N14</f>
        <v>18998.33357305931</v>
      </c>
      <c r="U15" s="82">
        <f t="shared" si="6"/>
        <v>6.350393828257957E-4</v>
      </c>
      <c r="V15" s="82">
        <f t="shared" si="14"/>
        <v>6.350393828257957E-4</v>
      </c>
      <c r="W15" s="82">
        <f t="shared" si="7"/>
        <v>3.1701639667067933E-3</v>
      </c>
      <c r="X15" s="82">
        <f t="shared" si="8"/>
        <v>0.99682983603329323</v>
      </c>
      <c r="Y15" s="81">
        <f t="shared" si="15"/>
        <v>98326.699390640846</v>
      </c>
      <c r="Z15" s="82">
        <f t="shared" si="9"/>
        <v>311.71175937342042</v>
      </c>
      <c r="AA15" s="82">
        <f t="shared" si="10"/>
        <v>490854.2175547707</v>
      </c>
      <c r="AB15" s="82">
        <f>SUM(AA15:$AA$24)</f>
        <v>4696032.8473235946</v>
      </c>
      <c r="AC15" s="82">
        <f t="shared" si="11"/>
        <v>47.759488281680113</v>
      </c>
    </row>
    <row r="16" spans="1:34" ht="16.5" thickTop="1" thickBot="1" x14ac:dyDescent="0.3">
      <c r="A16" s="79">
        <v>45</v>
      </c>
      <c r="B16" s="79">
        <v>5</v>
      </c>
      <c r="C16" s="80">
        <v>2.5</v>
      </c>
      <c r="D16" s="89">
        <f>Defunciones!N18</f>
        <v>32.709534368070955</v>
      </c>
      <c r="E16" s="89">
        <f>Poblacion!M15</f>
        <v>14722.888857179783</v>
      </c>
      <c r="F16" s="79">
        <f t="shared" si="0"/>
        <v>2.221679093374381E-3</v>
      </c>
      <c r="G16" s="79">
        <f t="shared" si="12"/>
        <v>2.221679093374381E-3</v>
      </c>
      <c r="H16" s="79">
        <f t="shared" si="1"/>
        <v>1.1047038033266357E-2</v>
      </c>
      <c r="I16" s="91">
        <f t="shared" si="16"/>
        <v>0.98895296196673366</v>
      </c>
      <c r="J16" s="89">
        <f t="shared" si="13"/>
        <v>95685.226673192388</v>
      </c>
      <c r="K16" s="79">
        <f t="shared" si="3"/>
        <v>1057.0383382804689</v>
      </c>
      <c r="L16" s="80">
        <f t="shared" si="4"/>
        <v>475783.53752026078</v>
      </c>
      <c r="M16" s="80">
        <f>SUM(L16:$L$24)</f>
        <v>3870198.6750737187</v>
      </c>
      <c r="N16" s="79">
        <f t="shared" si="5"/>
        <v>40.447191375656857</v>
      </c>
      <c r="P16" s="78">
        <v>45</v>
      </c>
      <c r="Q16" s="79">
        <v>5</v>
      </c>
      <c r="R16" s="80">
        <v>2.5</v>
      </c>
      <c r="S16" s="81">
        <f>Defunciones!O18</f>
        <v>10.05390835579515</v>
      </c>
      <c r="T16" s="82">
        <f>Poblacion!N15</f>
        <v>16342.192489611656</v>
      </c>
      <c r="U16" s="82">
        <f t="shared" si="6"/>
        <v>6.1521172034818339E-4</v>
      </c>
      <c r="V16" s="82">
        <f t="shared" si="14"/>
        <v>6.1521172034818339E-4</v>
      </c>
      <c r="W16" s="82">
        <f t="shared" si="7"/>
        <v>3.0713347988275373E-3</v>
      </c>
      <c r="X16" s="82">
        <f t="shared" si="8"/>
        <v>0.99692866520117251</v>
      </c>
      <c r="Y16" s="81">
        <f t="shared" si="15"/>
        <v>98014.987631267431</v>
      </c>
      <c r="Z16" s="82">
        <f t="shared" si="9"/>
        <v>301.03684231856232</v>
      </c>
      <c r="AA16" s="82">
        <f t="shared" si="10"/>
        <v>489322.34605054074</v>
      </c>
      <c r="AB16" s="82">
        <f>SUM(AA16:$AA$24)</f>
        <v>4205178.6297688242</v>
      </c>
      <c r="AC16" s="82">
        <f t="shared" si="11"/>
        <v>42.903424582255873</v>
      </c>
    </row>
    <row r="17" spans="1:29" ht="16.5" thickTop="1" thickBot="1" x14ac:dyDescent="0.3">
      <c r="A17" s="79">
        <v>50</v>
      </c>
      <c r="B17" s="79">
        <v>5</v>
      </c>
      <c r="C17" s="80">
        <v>2.5</v>
      </c>
      <c r="D17" s="89">
        <f>Defunciones!N19</f>
        <v>27.59866962305987</v>
      </c>
      <c r="E17" s="89">
        <f>Poblacion!M16</f>
        <v>12183.100134115011</v>
      </c>
      <c r="F17" s="79">
        <f t="shared" si="0"/>
        <v>2.2653240406174053E-3</v>
      </c>
      <c r="G17" s="79">
        <f t="shared" si="12"/>
        <v>2.2653240406174053E-3</v>
      </c>
      <c r="H17" s="79">
        <f t="shared" si="1"/>
        <v>1.1262835274306028E-2</v>
      </c>
      <c r="I17" s="91">
        <f t="shared" si="16"/>
        <v>0.98873716472569395</v>
      </c>
      <c r="J17" s="89">
        <f t="shared" si="13"/>
        <v>94628.188334911916</v>
      </c>
      <c r="K17" s="79">
        <f t="shared" si="3"/>
        <v>1065.7816975221201</v>
      </c>
      <c r="L17" s="80">
        <f t="shared" si="4"/>
        <v>470476.48743075429</v>
      </c>
      <c r="M17" s="80">
        <f>SUM(L17:$L$24)</f>
        <v>3394415.1375534581</v>
      </c>
      <c r="N17" s="79">
        <f t="shared" si="5"/>
        <v>35.871078135193784</v>
      </c>
      <c r="P17" s="78">
        <v>50</v>
      </c>
      <c r="Q17" s="79">
        <v>5</v>
      </c>
      <c r="R17" s="80">
        <v>2.5</v>
      </c>
      <c r="S17" s="81">
        <f>Defunciones!O19</f>
        <v>17.091644204851754</v>
      </c>
      <c r="T17" s="82">
        <f>Poblacion!N16</f>
        <v>13344.823168845223</v>
      </c>
      <c r="U17" s="82">
        <f t="shared" si="6"/>
        <v>1.2807696279373596E-3</v>
      </c>
      <c r="V17" s="82">
        <f t="shared" si="14"/>
        <v>1.2807696279373596E-3</v>
      </c>
      <c r="W17" s="82">
        <f t="shared" si="7"/>
        <v>6.3834089489255797E-3</v>
      </c>
      <c r="X17" s="82">
        <f t="shared" si="8"/>
        <v>0.99361659105107447</v>
      </c>
      <c r="Y17" s="81">
        <f t="shared" si="15"/>
        <v>97713.950788948874</v>
      </c>
      <c r="Z17" s="82">
        <f t="shared" si="9"/>
        <v>623.74810790104993</v>
      </c>
      <c r="AA17" s="82">
        <f t="shared" si="10"/>
        <v>487010.38367499178</v>
      </c>
      <c r="AB17" s="82">
        <f>SUM(AA17:$AA$24)</f>
        <v>3715856.2837182838</v>
      </c>
      <c r="AC17" s="82">
        <f t="shared" si="11"/>
        <v>38.027899329790834</v>
      </c>
    </row>
    <row r="18" spans="1:29" ht="16.5" thickTop="1" thickBot="1" x14ac:dyDescent="0.3">
      <c r="A18" s="79">
        <v>55</v>
      </c>
      <c r="B18" s="79">
        <v>5</v>
      </c>
      <c r="C18" s="80">
        <v>2.5</v>
      </c>
      <c r="D18" s="89">
        <f>Defunciones!N20</f>
        <v>29.643015521064303</v>
      </c>
      <c r="E18" s="89">
        <f>Poblacion!M17</f>
        <v>9149.0764812757734</v>
      </c>
      <c r="F18" s="79">
        <f t="shared" si="0"/>
        <v>3.2400008439901901E-3</v>
      </c>
      <c r="G18" s="79">
        <f t="shared" si="12"/>
        <v>3.2400008439901901E-3</v>
      </c>
      <c r="H18" s="79">
        <f t="shared" si="1"/>
        <v>1.6069838494240634E-2</v>
      </c>
      <c r="I18" s="91">
        <f t="shared" si="16"/>
        <v>0.9839301615057594</v>
      </c>
      <c r="J18" s="89">
        <f t="shared" si="13"/>
        <v>93562.406637389795</v>
      </c>
      <c r="K18" s="79">
        <f t="shared" si="3"/>
        <v>1503.5327637953219</v>
      </c>
      <c r="L18" s="80">
        <f t="shared" si="4"/>
        <v>464053.20127746067</v>
      </c>
      <c r="M18" s="80">
        <f>SUM(L18:$L$24)</f>
        <v>2923938.650122704</v>
      </c>
      <c r="N18" s="79">
        <f t="shared" si="5"/>
        <v>31.251212481683083</v>
      </c>
      <c r="P18" s="78">
        <v>55</v>
      </c>
      <c r="Q18" s="79">
        <v>5</v>
      </c>
      <c r="R18" s="80">
        <v>2.5</v>
      </c>
      <c r="S18" s="81">
        <f>Defunciones!O20</f>
        <v>22.11859838274933</v>
      </c>
      <c r="T18" s="82">
        <f>Poblacion!N17</f>
        <v>9636.4134881568752</v>
      </c>
      <c r="U18" s="82">
        <f t="shared" si="6"/>
        <v>2.2953143729182047E-3</v>
      </c>
      <c r="V18" s="82">
        <f t="shared" si="14"/>
        <v>2.2953143729182047E-3</v>
      </c>
      <c r="W18" s="82">
        <f t="shared" si="7"/>
        <v>1.1411091757288045E-2</v>
      </c>
      <c r="X18" s="82">
        <f t="shared" si="8"/>
        <v>0.98858890824271195</v>
      </c>
      <c r="Y18" s="81">
        <f t="shared" si="15"/>
        <v>97090.202681047827</v>
      </c>
      <c r="Z18" s="82">
        <f t="shared" si="9"/>
        <v>1107.9052115271304</v>
      </c>
      <c r="AA18" s="82">
        <f t="shared" si="10"/>
        <v>482681.25037642132</v>
      </c>
      <c r="AB18" s="82">
        <f>SUM(AA18:$AA$24)</f>
        <v>3228845.9000432924</v>
      </c>
      <c r="AC18" s="82">
        <f t="shared" si="11"/>
        <v>33.256145428498201</v>
      </c>
    </row>
    <row r="19" spans="1:29" ht="16.5" thickTop="1" thickBot="1" x14ac:dyDescent="0.3">
      <c r="A19" s="79">
        <v>60</v>
      </c>
      <c r="B19" s="79">
        <v>5</v>
      </c>
      <c r="C19" s="80">
        <v>2.5</v>
      </c>
      <c r="D19" s="89">
        <f>Defunciones!N21</f>
        <v>35.77605321507761</v>
      </c>
      <c r="E19" s="89">
        <f>Poblacion!M18</f>
        <v>6131.7176321898578</v>
      </c>
      <c r="F19" s="79">
        <f t="shared" si="0"/>
        <v>5.8345891577366539E-3</v>
      </c>
      <c r="G19" s="79">
        <f t="shared" si="12"/>
        <v>5.8345891577366539E-3</v>
      </c>
      <c r="H19" s="79">
        <f t="shared" si="1"/>
        <v>2.875353315667685E-2</v>
      </c>
      <c r="I19" s="91">
        <f t="shared" si="16"/>
        <v>0.97124646684332316</v>
      </c>
      <c r="J19" s="89">
        <f t="shared" si="13"/>
        <v>92058.873873594479</v>
      </c>
      <c r="K19" s="79">
        <f t="shared" si="3"/>
        <v>2647.017882290731</v>
      </c>
      <c r="L19" s="80">
        <f t="shared" si="4"/>
        <v>453676.82466224558</v>
      </c>
      <c r="M19" s="80">
        <f>SUM(L19:$L$24)</f>
        <v>2459885.4488452426</v>
      </c>
      <c r="N19" s="79">
        <f t="shared" si="5"/>
        <v>26.720785790003227</v>
      </c>
      <c r="P19" s="78">
        <v>60</v>
      </c>
      <c r="Q19" s="79">
        <v>5</v>
      </c>
      <c r="R19" s="80">
        <v>2.5</v>
      </c>
      <c r="S19" s="81">
        <f>Defunciones!O21</f>
        <v>22.11859838274933</v>
      </c>
      <c r="T19" s="82">
        <f>Poblacion!N18</f>
        <v>6266.2199142083618</v>
      </c>
      <c r="U19" s="82">
        <f t="shared" si="6"/>
        <v>3.5298152132510444E-3</v>
      </c>
      <c r="V19" s="82">
        <f t="shared" si="14"/>
        <v>3.5298152132510444E-3</v>
      </c>
      <c r="W19" s="82">
        <f t="shared" si="7"/>
        <v>1.7494693478278249E-2</v>
      </c>
      <c r="X19" s="82">
        <f t="shared" si="8"/>
        <v>0.98250530652172174</v>
      </c>
      <c r="Y19" s="81">
        <f t="shared" si="15"/>
        <v>95982.297469520694</v>
      </c>
      <c r="Z19" s="82">
        <f t="shared" si="9"/>
        <v>1679.1808735701866</v>
      </c>
      <c r="AA19" s="82">
        <f t="shared" si="10"/>
        <v>475713.535163678</v>
      </c>
      <c r="AB19" s="82">
        <f>SUM(AA19:$AA$24)</f>
        <v>2746164.6496668709</v>
      </c>
      <c r="AC19" s="82">
        <f t="shared" si="11"/>
        <v>28.611157703730932</v>
      </c>
    </row>
    <row r="20" spans="1:29" ht="16.5" thickTop="1" thickBot="1" x14ac:dyDescent="0.3">
      <c r="A20" s="79">
        <v>65</v>
      </c>
      <c r="B20" s="79">
        <v>5</v>
      </c>
      <c r="C20" s="80">
        <v>2.5</v>
      </c>
      <c r="D20" s="89">
        <f>Defunciones!N22</f>
        <v>34.753880266075392</v>
      </c>
      <c r="E20" s="89">
        <f>Poblacion!M19</f>
        <v>3695.9691191161837</v>
      </c>
      <c r="F20" s="79">
        <f t="shared" si="0"/>
        <v>9.4031846982493405E-3</v>
      </c>
      <c r="G20" s="79">
        <f t="shared" si="12"/>
        <v>9.4031846982493405E-3</v>
      </c>
      <c r="H20" s="79">
        <f t="shared" si="1"/>
        <v>4.5936060341982728E-2</v>
      </c>
      <c r="I20" s="91">
        <f t="shared" si="16"/>
        <v>0.95406393965801728</v>
      </c>
      <c r="J20" s="89">
        <f t="shared" si="13"/>
        <v>89411.855991303746</v>
      </c>
      <c r="K20" s="79">
        <f t="shared" si="3"/>
        <v>4107.2284121051989</v>
      </c>
      <c r="L20" s="80">
        <f t="shared" si="4"/>
        <v>436791.20892625576</v>
      </c>
      <c r="M20" s="80">
        <f>SUM(L20:$L$24)</f>
        <v>2006208.6241829973</v>
      </c>
      <c r="N20" s="79">
        <f t="shared" si="5"/>
        <v>22.437836704543102</v>
      </c>
      <c r="P20" s="78">
        <v>65</v>
      </c>
      <c r="Q20" s="79">
        <v>5</v>
      </c>
      <c r="R20" s="80">
        <v>2.5</v>
      </c>
      <c r="S20" s="81">
        <f>Defunciones!O22</f>
        <v>29.156334231805932</v>
      </c>
      <c r="T20" s="82">
        <f>Poblacion!N19</f>
        <v>3961.1943644689873</v>
      </c>
      <c r="U20" s="82">
        <f t="shared" si="6"/>
        <v>7.3604906876904653E-3</v>
      </c>
      <c r="V20" s="82">
        <f t="shared" si="14"/>
        <v>7.3604906876904653E-3</v>
      </c>
      <c r="W20" s="82">
        <f t="shared" si="7"/>
        <v>3.6137479485380458E-2</v>
      </c>
      <c r="X20" s="82">
        <f t="shared" si="8"/>
        <v>0.96386252051461951</v>
      </c>
      <c r="Y20" s="81">
        <f t="shared" si="15"/>
        <v>94303.116595950502</v>
      </c>
      <c r="Z20" s="82">
        <f t="shared" si="9"/>
        <v>3407.8769413936025</v>
      </c>
      <c r="AA20" s="82">
        <f t="shared" si="10"/>
        <v>462995.89062626846</v>
      </c>
      <c r="AB20" s="82">
        <f>SUM(AA20:$AA$24)</f>
        <v>2270451.1145031927</v>
      </c>
      <c r="AC20" s="82">
        <f t="shared" si="11"/>
        <v>24.076098399071245</v>
      </c>
    </row>
    <row r="21" spans="1:29" ht="16.5" thickTop="1" thickBot="1" x14ac:dyDescent="0.3">
      <c r="A21" s="79">
        <v>70</v>
      </c>
      <c r="B21" s="79">
        <v>5</v>
      </c>
      <c r="C21" s="80">
        <v>2.5</v>
      </c>
      <c r="D21" s="89">
        <f>Defunciones!N23</f>
        <v>35.77605321507761</v>
      </c>
      <c r="E21" s="89">
        <f>Poblacion!M20</f>
        <v>2154.5342188944419</v>
      </c>
      <c r="F21" s="79">
        <f t="shared" si="0"/>
        <v>1.6605005806515066E-2</v>
      </c>
      <c r="G21" s="79">
        <f t="shared" si="12"/>
        <v>1.6605005806515066E-2</v>
      </c>
      <c r="H21" s="79">
        <f t="shared" si="1"/>
        <v>7.9715824702437557E-2</v>
      </c>
      <c r="I21" s="91">
        <f t="shared" si="16"/>
        <v>0.92028417529756246</v>
      </c>
      <c r="J21" s="89">
        <f t="shared" si="13"/>
        <v>85304.627579198554</v>
      </c>
      <c r="K21" s="79">
        <f t="shared" si="3"/>
        <v>6800.1287384101124</v>
      </c>
      <c r="L21" s="80">
        <f t="shared" si="4"/>
        <v>409522.81604996749</v>
      </c>
      <c r="M21" s="80">
        <f>SUM(L21:$L$24)</f>
        <v>1569417.4152567415</v>
      </c>
      <c r="N21" s="79">
        <f t="shared" si="5"/>
        <v>18.397799272960455</v>
      </c>
      <c r="P21" s="78">
        <v>70</v>
      </c>
      <c r="Q21" s="79">
        <v>5</v>
      </c>
      <c r="R21" s="80">
        <v>2.5</v>
      </c>
      <c r="S21" s="81">
        <f>Defunciones!O23</f>
        <v>34.183288409703508</v>
      </c>
      <c r="T21" s="82">
        <f>Poblacion!N20</f>
        <v>2557.5248384308625</v>
      </c>
      <c r="U21" s="82">
        <f t="shared" si="6"/>
        <v>1.3365769863129165E-2</v>
      </c>
      <c r="V21" s="82">
        <f t="shared" si="14"/>
        <v>1.3365769863129165E-2</v>
      </c>
      <c r="W21" s="82">
        <f t="shared" si="7"/>
        <v>6.4668005130442935E-2</v>
      </c>
      <c r="X21" s="82">
        <f t="shared" si="8"/>
        <v>0.93533199486955709</v>
      </c>
      <c r="Y21" s="81">
        <f t="shared" si="15"/>
        <v>90895.239654556892</v>
      </c>
      <c r="Z21" s="82">
        <f t="shared" si="9"/>
        <v>5878.0138243137253</v>
      </c>
      <c r="AA21" s="82">
        <f t="shared" si="10"/>
        <v>439781.16371200018</v>
      </c>
      <c r="AB21" s="82">
        <f>SUM(AA21:$AA$24)</f>
        <v>1807455.2238769245</v>
      </c>
      <c r="AC21" s="82">
        <f t="shared" si="11"/>
        <v>19.885037222478026</v>
      </c>
    </row>
    <row r="22" spans="1:29" ht="16.5" thickTop="1" thickBot="1" x14ac:dyDescent="0.3">
      <c r="A22" s="79">
        <v>75</v>
      </c>
      <c r="B22" s="79">
        <v>5</v>
      </c>
      <c r="C22" s="80">
        <v>2.5</v>
      </c>
      <c r="D22" s="89">
        <f>Defunciones!N24</f>
        <v>38.842572062084258</v>
      </c>
      <c r="E22" s="89">
        <f>Poblacion!M21</f>
        <v>1283.5939759622152</v>
      </c>
      <c r="F22" s="79">
        <f t="shared" si="0"/>
        <v>3.0260793357936154E-2</v>
      </c>
      <c r="G22" s="79">
        <f t="shared" si="12"/>
        <v>3.0260793357936154E-2</v>
      </c>
      <c r="H22" s="79">
        <f t="shared" si="1"/>
        <v>0.14066256477504352</v>
      </c>
      <c r="I22" s="91">
        <f t="shared" si="16"/>
        <v>0.85933743522495654</v>
      </c>
      <c r="J22" s="89">
        <f t="shared" si="13"/>
        <v>78504.498840788438</v>
      </c>
      <c r="K22" s="79">
        <f t="shared" si="3"/>
        <v>11042.644153324733</v>
      </c>
      <c r="L22" s="80">
        <f>B22*J23+C22*K22</f>
        <v>364915.88382063038</v>
      </c>
      <c r="M22" s="80">
        <f>SUM(L22:$L$24)</f>
        <v>1159894.599206774</v>
      </c>
      <c r="N22" s="79">
        <f t="shared" si="5"/>
        <v>14.774880628931927</v>
      </c>
      <c r="P22" s="78">
        <v>75</v>
      </c>
      <c r="Q22" s="79">
        <v>5</v>
      </c>
      <c r="R22" s="80">
        <v>2.5</v>
      </c>
      <c r="S22" s="81">
        <f>Defunciones!O24</f>
        <v>53.285714285714292</v>
      </c>
      <c r="T22" s="82">
        <f>Poblacion!N21</f>
        <v>1698.3480137290214</v>
      </c>
      <c r="U22" s="82">
        <f t="shared" si="6"/>
        <v>3.1375026705343E-2</v>
      </c>
      <c r="V22" s="82">
        <f t="shared" si="14"/>
        <v>3.1375026705343E-2</v>
      </c>
      <c r="W22" s="82">
        <f t="shared" si="7"/>
        <v>0.14546519739435065</v>
      </c>
      <c r="X22" s="82">
        <f t="shared" si="8"/>
        <v>0.8545348026056494</v>
      </c>
      <c r="Y22" s="81">
        <f t="shared" si="15"/>
        <v>85017.225830243173</v>
      </c>
      <c r="Z22" s="82">
        <f t="shared" si="9"/>
        <v>12367.04753731641</v>
      </c>
      <c r="AA22" s="82">
        <f t="shared" si="10"/>
        <v>394168.51030792482</v>
      </c>
      <c r="AB22" s="82">
        <f>SUM(AA22:$AA$24)</f>
        <v>1367674.0601649242</v>
      </c>
      <c r="AC22" s="82">
        <f t="shared" si="11"/>
        <v>16.087022915753639</v>
      </c>
    </row>
    <row r="23" spans="1:29" ht="16.5" thickTop="1" thickBot="1" x14ac:dyDescent="0.3">
      <c r="A23" s="79">
        <v>80</v>
      </c>
      <c r="B23" s="79">
        <v>5</v>
      </c>
      <c r="C23" s="80">
        <v>2.5</v>
      </c>
      <c r="D23" s="89">
        <f>Defunciones!N25</f>
        <v>24.532150776053214</v>
      </c>
      <c r="E23" s="89">
        <f>Poblacion!M22</f>
        <v>706.9354270883623</v>
      </c>
      <c r="F23" s="79">
        <f t="shared" si="0"/>
        <v>3.4702109748684096E-2</v>
      </c>
      <c r="G23" s="79">
        <f t="shared" si="12"/>
        <v>3.4702109748684096E-2</v>
      </c>
      <c r="H23" s="79">
        <f t="shared" si="1"/>
        <v>0.15965926537023967</v>
      </c>
      <c r="I23" s="91">
        <f>1-H23</f>
        <v>0.84034073462976033</v>
      </c>
      <c r="J23" s="89">
        <f t="shared" si="13"/>
        <v>67461.85468746371</v>
      </c>
      <c r="K23" s="79">
        <f>J23*H23</f>
        <v>10770.910159914316</v>
      </c>
      <c r="L23" s="80">
        <f>B23*J24+C23*K23</f>
        <v>310381.99803753273</v>
      </c>
      <c r="M23" s="80">
        <f>SUM(L23:$L$24)</f>
        <v>794978.71538614365</v>
      </c>
      <c r="N23" s="79">
        <f t="shared" si="5"/>
        <v>11.784121842915665</v>
      </c>
      <c r="P23" s="78">
        <v>80</v>
      </c>
      <c r="Q23" s="79">
        <v>5</v>
      </c>
      <c r="R23" s="80">
        <v>2.5</v>
      </c>
      <c r="S23" s="81">
        <f>Defunciones!O25</f>
        <v>42.226415094339629</v>
      </c>
      <c r="T23" s="82">
        <f>Poblacion!N22</f>
        <v>1098.913968546439</v>
      </c>
      <c r="U23" s="82">
        <f>S23/T23</f>
        <v>3.8425587719294864E-2</v>
      </c>
      <c r="V23" s="82">
        <f t="shared" si="14"/>
        <v>3.8425587719294864E-2</v>
      </c>
      <c r="W23" s="82">
        <f t="shared" si="7"/>
        <v>0.17528898310514265</v>
      </c>
      <c r="X23" s="82">
        <f t="shared" si="8"/>
        <v>0.82471101689485737</v>
      </c>
      <c r="Y23" s="81">
        <f t="shared" si="15"/>
        <v>72650.178292926765</v>
      </c>
      <c r="Z23" s="82">
        <f t="shared" si="9"/>
        <v>12734.775875374442</v>
      </c>
      <c r="AA23" s="82">
        <f t="shared" si="10"/>
        <v>331413.9517761977</v>
      </c>
      <c r="AB23" s="82">
        <f>SUM(AA23:$AA$24)</f>
        <v>973505.54985699942</v>
      </c>
      <c r="AC23" s="82">
        <f t="shared" si="11"/>
        <v>13.399905860269309</v>
      </c>
    </row>
    <row r="24" spans="1:29" ht="16.5" thickTop="1" thickBot="1" x14ac:dyDescent="0.3">
      <c r="A24" s="79">
        <v>85</v>
      </c>
      <c r="B24" s="79">
        <v>0</v>
      </c>
      <c r="C24" s="80">
        <v>0</v>
      </c>
      <c r="D24" s="89">
        <f>Defunciones!N26</f>
        <v>59.286031042128606</v>
      </c>
      <c r="E24" s="89">
        <f>Poblacion!M23</f>
        <v>506.77963239229319</v>
      </c>
      <c r="F24" s="79">
        <f t="shared" si="0"/>
        <v>0.11698582036982075</v>
      </c>
      <c r="G24" s="79">
        <f t="shared" si="12"/>
        <v>0.11698582036982075</v>
      </c>
      <c r="H24" s="79">
        <f>1</f>
        <v>1</v>
      </c>
      <c r="I24" s="91">
        <f t="shared" si="16"/>
        <v>0</v>
      </c>
      <c r="J24" s="89">
        <f t="shared" si="13"/>
        <v>56690.944527549393</v>
      </c>
      <c r="K24" s="79">
        <f>J24*H24</f>
        <v>56690.944527549393</v>
      </c>
      <c r="L24" s="92">
        <f>J24/F24</f>
        <v>484596.71734861092</v>
      </c>
      <c r="M24" s="80">
        <f>SUM(L24:$L$24)</f>
        <v>484596.71734861092</v>
      </c>
      <c r="N24" s="79">
        <f>M24/J24</f>
        <v>8.5480445137603507</v>
      </c>
      <c r="P24" s="78">
        <v>85</v>
      </c>
      <c r="Q24" s="79">
        <v>0</v>
      </c>
      <c r="R24" s="80">
        <v>0</v>
      </c>
      <c r="S24" s="81">
        <f>Defunciones!O26</f>
        <v>82.44204851752022</v>
      </c>
      <c r="T24" s="82">
        <f>Poblacion!N23</f>
        <v>883.50147951542499</v>
      </c>
      <c r="U24" s="84">
        <f t="shared" si="6"/>
        <v>9.3312858471654506E-2</v>
      </c>
      <c r="V24" s="82">
        <f t="shared" si="14"/>
        <v>9.3312858471654506E-2</v>
      </c>
      <c r="W24" s="82">
        <f>1</f>
        <v>1</v>
      </c>
      <c r="X24" s="82">
        <f t="shared" si="8"/>
        <v>0</v>
      </c>
      <c r="Y24" s="81">
        <f>Y23*X23</f>
        <v>59915.402417552323</v>
      </c>
      <c r="Z24" s="82">
        <f t="shared" si="9"/>
        <v>59915.402417552323</v>
      </c>
      <c r="AA24" s="85">
        <f>Y24/U24</f>
        <v>642091.59808080178</v>
      </c>
      <c r="AB24" s="86">
        <f>SUM(AA24:$AA$24)</f>
        <v>642091.59808080178</v>
      </c>
      <c r="AC24" s="82">
        <f t="shared" si="11"/>
        <v>10.716636660570938</v>
      </c>
    </row>
    <row r="25" spans="1:29" ht="15.75" thickTop="1" x14ac:dyDescent="0.25"/>
    <row r="43" spans="1:29" ht="15.75" thickBot="1" x14ac:dyDescent="0.3"/>
    <row r="44" spans="1:29" ht="15.75" thickBot="1" x14ac:dyDescent="0.3">
      <c r="A44" s="205" t="s">
        <v>135</v>
      </c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7"/>
      <c r="P44" s="208" t="s">
        <v>136</v>
      </c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10"/>
    </row>
    <row r="45" spans="1:29" ht="15.75" thickBot="1" x14ac:dyDescent="0.3">
      <c r="A45" s="100"/>
      <c r="B45" s="100"/>
      <c r="C45" s="100"/>
      <c r="D45" s="100"/>
      <c r="E45" s="101" t="s">
        <v>118</v>
      </c>
      <c r="F45" s="100"/>
      <c r="G45" s="101" t="s">
        <v>119</v>
      </c>
      <c r="H45" s="100"/>
      <c r="I45" s="100"/>
      <c r="J45" s="100"/>
      <c r="K45" s="100"/>
      <c r="L45" s="100"/>
      <c r="M45" s="100"/>
      <c r="N45" s="100"/>
      <c r="P45" s="93"/>
      <c r="Q45" s="93"/>
      <c r="R45" s="93"/>
      <c r="S45" s="93"/>
      <c r="T45" s="93" t="s">
        <v>145</v>
      </c>
      <c r="U45" s="93"/>
      <c r="V45" s="93" t="s">
        <v>146</v>
      </c>
      <c r="W45" s="93"/>
      <c r="X45" s="93"/>
      <c r="Y45" s="93"/>
      <c r="Z45" s="93"/>
      <c r="AA45" s="93"/>
      <c r="AB45" s="93"/>
      <c r="AC45" s="93"/>
    </row>
    <row r="46" spans="1:29" ht="15.75" thickBot="1" x14ac:dyDescent="0.3">
      <c r="A46" s="78" t="s">
        <v>120</v>
      </c>
      <c r="B46" s="78" t="s">
        <v>121</v>
      </c>
      <c r="C46" s="78" t="s">
        <v>122</v>
      </c>
      <c r="D46" s="78" t="s">
        <v>123</v>
      </c>
      <c r="E46" s="78" t="s">
        <v>124</v>
      </c>
      <c r="F46" s="78" t="s">
        <v>125</v>
      </c>
      <c r="G46" s="78" t="s">
        <v>126</v>
      </c>
      <c r="H46" s="78" t="s">
        <v>127</v>
      </c>
      <c r="I46" s="78" t="s">
        <v>128</v>
      </c>
      <c r="J46" s="78" t="s">
        <v>129</v>
      </c>
      <c r="K46" s="78" t="s">
        <v>130</v>
      </c>
      <c r="L46" s="78" t="s">
        <v>131</v>
      </c>
      <c r="M46" s="78" t="s">
        <v>132</v>
      </c>
      <c r="N46" s="78" t="s">
        <v>133</v>
      </c>
      <c r="P46" s="78" t="s">
        <v>120</v>
      </c>
      <c r="Q46" s="78" t="s">
        <v>121</v>
      </c>
      <c r="R46" s="78" t="s">
        <v>122</v>
      </c>
      <c r="S46" s="78" t="s">
        <v>123</v>
      </c>
      <c r="T46" s="78" t="s">
        <v>124</v>
      </c>
      <c r="U46" s="78" t="s">
        <v>125</v>
      </c>
      <c r="V46" s="78" t="s">
        <v>126</v>
      </c>
      <c r="W46" s="78" t="s">
        <v>127</v>
      </c>
      <c r="X46" s="78" t="s">
        <v>128</v>
      </c>
      <c r="Y46" s="78" t="s">
        <v>129</v>
      </c>
      <c r="Z46" s="78" t="s">
        <v>130</v>
      </c>
      <c r="AA46" s="78" t="s">
        <v>131</v>
      </c>
      <c r="AB46" s="78" t="s">
        <v>132</v>
      </c>
      <c r="AC46" s="78" t="s">
        <v>133</v>
      </c>
    </row>
    <row r="47" spans="1:29" ht="16.5" thickTop="1" thickBot="1" x14ac:dyDescent="0.3">
      <c r="A47" s="94">
        <v>0</v>
      </c>
      <c r="B47" s="94">
        <v>1</v>
      </c>
      <c r="C47" s="95">
        <v>0.5</v>
      </c>
      <c r="D47" s="82">
        <f>Defunciones!H8</f>
        <v>20</v>
      </c>
      <c r="E47" s="102">
        <f>Poblacion!Q5</f>
        <v>3116.2172346680632</v>
      </c>
      <c r="F47" s="82">
        <f>D47/E47</f>
        <v>6.418037798359838E-3</v>
      </c>
      <c r="G47" s="97">
        <f>Defunciones!AI5/1000</f>
        <v>7.366864509721651E-3</v>
      </c>
      <c r="H47" s="82">
        <f>(B47*G47)/(1+(B47-C47)*G47)</f>
        <v>7.3398287477669712E-3</v>
      </c>
      <c r="I47" s="82">
        <f>1-H47</f>
        <v>0.99266017125223305</v>
      </c>
      <c r="J47" s="82">
        <v>100000</v>
      </c>
      <c r="K47" s="82">
        <f>J47*H47</f>
        <v>733.98287477669714</v>
      </c>
      <c r="L47" s="82">
        <f>B47*J48+C47*K47</f>
        <v>99633.008562611649</v>
      </c>
      <c r="M47" s="82">
        <f>SUM(L47:$L$65)</f>
        <v>6869504.8669376122</v>
      </c>
      <c r="N47" s="82">
        <f>M47/J47</f>
        <v>68.695048669376121</v>
      </c>
      <c r="P47" s="94">
        <v>0</v>
      </c>
      <c r="Q47" s="94">
        <v>1</v>
      </c>
      <c r="R47" s="95">
        <v>0.5</v>
      </c>
      <c r="S47" s="81">
        <f>Defunciones!R8</f>
        <v>20.034188034188034</v>
      </c>
      <c r="T47" s="96">
        <f>Poblacion!R5</f>
        <v>3052.8768821105159</v>
      </c>
      <c r="U47" s="82">
        <f>S47/T47</f>
        <v>6.5623963257692829E-3</v>
      </c>
      <c r="V47" s="97">
        <f>Defunciones!AJ5/1000</f>
        <v>7.5930218056426127E-3</v>
      </c>
      <c r="W47" s="82">
        <f>(Q47*V47)/(1+(Q47-R47)*V47)</f>
        <v>7.5643038436280256E-3</v>
      </c>
      <c r="X47" s="82">
        <f>1-W47</f>
        <v>0.99243569615637195</v>
      </c>
      <c r="Y47" s="82">
        <v>100000</v>
      </c>
      <c r="Z47" s="82">
        <f>Y47*W47</f>
        <v>756.43038436280256</v>
      </c>
      <c r="AA47" s="82">
        <f>Q47*Y48+R47*Z47</f>
        <v>99621.784807818607</v>
      </c>
      <c r="AB47" s="82">
        <f>SUM(AA47:$AA$65)</f>
        <v>7651685.3905417388</v>
      </c>
      <c r="AC47" s="82">
        <f>AB47/Y47</f>
        <v>76.516853905417392</v>
      </c>
    </row>
    <row r="48" spans="1:29" ht="16.5" thickTop="1" thickBot="1" x14ac:dyDescent="0.3">
      <c r="A48" s="94">
        <v>1</v>
      </c>
      <c r="B48" s="94">
        <v>4</v>
      </c>
      <c r="C48" s="94">
        <v>2</v>
      </c>
      <c r="D48" s="82">
        <f>Defunciones!H9</f>
        <v>2</v>
      </c>
      <c r="E48" s="102">
        <f>Poblacion!Q6</f>
        <v>14906.23749653565</v>
      </c>
      <c r="F48" s="82">
        <f t="shared" ref="F48:F65" si="17">D48/E48</f>
        <v>1.341720203012208E-4</v>
      </c>
      <c r="G48" s="82">
        <f>F48</f>
        <v>1.341720203012208E-4</v>
      </c>
      <c r="H48" s="82">
        <f t="shared" ref="H48:H64" si="18">(B48*G48)/(1+(B48-C48)*G48)</f>
        <v>5.3654410279237858E-4</v>
      </c>
      <c r="I48" s="82">
        <f t="shared" ref="I48:I65" si="19">1-H48</f>
        <v>0.99946345589720764</v>
      </c>
      <c r="J48" s="82">
        <f>J47*I47</f>
        <v>99266.017125223298</v>
      </c>
      <c r="K48" s="82">
        <f t="shared" ref="K48:K65" si="20">J48*H48</f>
        <v>53.260596096225818</v>
      </c>
      <c r="L48" s="82">
        <f t="shared" ref="L48:L63" si="21">B48*J49+C48*K48</f>
        <v>396957.54730870074</v>
      </c>
      <c r="M48" s="82">
        <f>SUM(L48:$L$65)</f>
        <v>6769871.8583749998</v>
      </c>
      <c r="N48" s="82">
        <f t="shared" ref="N48:N65" si="22">M48/J48</f>
        <v>68.199289690799816</v>
      </c>
      <c r="P48" s="94">
        <v>1</v>
      </c>
      <c r="Q48" s="94">
        <v>4</v>
      </c>
      <c r="R48" s="94">
        <v>2</v>
      </c>
      <c r="S48" s="81">
        <f>Defunciones!R9</f>
        <v>1.0017094017094017</v>
      </c>
      <c r="T48" s="96">
        <f>Poblacion!R6</f>
        <v>14443.194734707715</v>
      </c>
      <c r="U48" s="82">
        <f t="shared" ref="U48:U65" si="23">S48/T48</f>
        <v>6.9355112917105817E-5</v>
      </c>
      <c r="V48" s="82">
        <f>U48</f>
        <v>6.9355112917105817E-5</v>
      </c>
      <c r="W48" s="82">
        <f t="shared" ref="W48:W64" si="24">(Q48*V48)/(1+(Q48-R48)*V48)</f>
        <v>2.7738197595189666E-4</v>
      </c>
      <c r="X48" s="82">
        <f t="shared" ref="X48:X65" si="25">1-W48</f>
        <v>0.99972261802404805</v>
      </c>
      <c r="Y48" s="82">
        <f>Y47*X47</f>
        <v>99243.5696156372</v>
      </c>
      <c r="Z48" s="82">
        <f t="shared" ref="Z48:Z65" si="26">Y48*W48</f>
        <v>27.528377440505061</v>
      </c>
      <c r="AA48" s="82">
        <f t="shared" ref="AA48:AA64" si="27">Q48*Y49+R48*Z48</f>
        <v>396919.22170766775</v>
      </c>
      <c r="AB48" s="82">
        <f>SUM(AA48:$AA$65)</f>
        <v>7552063.6057339208</v>
      </c>
      <c r="AC48" s="82">
        <f t="shared" ref="AC48:AC65" si="28">AB48/Y48</f>
        <v>76.096251222950656</v>
      </c>
    </row>
    <row r="49" spans="1:29" ht="16.5" thickTop="1" thickBot="1" x14ac:dyDescent="0.3">
      <c r="A49" s="94">
        <v>5</v>
      </c>
      <c r="B49" s="94">
        <v>5</v>
      </c>
      <c r="C49" s="95">
        <v>2.5</v>
      </c>
      <c r="D49" s="82">
        <f>Defunciones!H10</f>
        <v>5</v>
      </c>
      <c r="E49" s="102">
        <f>Poblacion!Q7</f>
        <v>19276.588615423214</v>
      </c>
      <c r="F49" s="82">
        <f t="shared" si="17"/>
        <v>2.593819943846027E-4</v>
      </c>
      <c r="G49" s="82">
        <f t="shared" ref="G49:G65" si="29">F49</f>
        <v>2.593819943846027E-4</v>
      </c>
      <c r="H49" s="82">
        <f t="shared" si="18"/>
        <v>1.2960695291746674E-3</v>
      </c>
      <c r="I49" s="82">
        <f t="shared" si="19"/>
        <v>0.99870393047082529</v>
      </c>
      <c r="J49" s="82">
        <f t="shared" ref="J49:J65" si="30">J48*I48</f>
        <v>99212.756529127073</v>
      </c>
      <c r="K49" s="82">
        <f t="shared" si="20"/>
        <v>128.58663064282663</v>
      </c>
      <c r="L49" s="82">
        <f t="shared" si="21"/>
        <v>495742.31606902828</v>
      </c>
      <c r="M49" s="82">
        <f>SUM(L49:$L$65)</f>
        <v>6372914.3110662987</v>
      </c>
      <c r="N49" s="82">
        <f t="shared" si="22"/>
        <v>64.234827596946431</v>
      </c>
      <c r="P49" s="94">
        <v>5</v>
      </c>
      <c r="Q49" s="94">
        <v>5</v>
      </c>
      <c r="R49" s="95">
        <v>2.5</v>
      </c>
      <c r="S49" s="81">
        <f>Defunciones!R10</f>
        <v>1.0017094017094017</v>
      </c>
      <c r="T49" s="96">
        <f>Poblacion!R7</f>
        <v>18801.982736958074</v>
      </c>
      <c r="U49" s="82">
        <f t="shared" si="23"/>
        <v>5.327679616152364E-5</v>
      </c>
      <c r="V49" s="82">
        <f t="shared" ref="V49:V65" si="31">U49</f>
        <v>5.327679616152364E-5</v>
      </c>
      <c r="W49" s="82">
        <f t="shared" si="24"/>
        <v>2.6634850532005356E-4</v>
      </c>
      <c r="X49" s="82">
        <f t="shared" si="25"/>
        <v>0.99973365149467996</v>
      </c>
      <c r="Y49" s="82">
        <f t="shared" ref="Y49:Y65" si="32">Y48*X48</f>
        <v>99216.041238196689</v>
      </c>
      <c r="Z49" s="82">
        <f t="shared" si="26"/>
        <v>26.426044287566484</v>
      </c>
      <c r="AA49" s="82">
        <f t="shared" si="27"/>
        <v>496014.14108026453</v>
      </c>
      <c r="AB49" s="82">
        <f>SUM(AA49:$AA$65)</f>
        <v>7155144.3840262527</v>
      </c>
      <c r="AC49" s="82">
        <f t="shared" si="28"/>
        <v>72.116809890129232</v>
      </c>
    </row>
    <row r="50" spans="1:29" ht="16.5" thickTop="1" thickBot="1" x14ac:dyDescent="0.3">
      <c r="A50" s="94">
        <v>10</v>
      </c>
      <c r="B50" s="94">
        <v>5</v>
      </c>
      <c r="C50" s="95">
        <v>2.5</v>
      </c>
      <c r="D50" s="82">
        <f>Defunciones!H11</f>
        <v>3</v>
      </c>
      <c r="E50" s="102">
        <f>Poblacion!Q8</f>
        <v>20716.810666497746</v>
      </c>
      <c r="F50" s="82">
        <f t="shared" si="17"/>
        <v>1.448099347092774E-4</v>
      </c>
      <c r="G50" s="82">
        <f t="shared" si="29"/>
        <v>1.448099347092774E-4</v>
      </c>
      <c r="H50" s="82">
        <f t="shared" si="18"/>
        <v>7.2378764444254917E-4</v>
      </c>
      <c r="I50" s="82">
        <f t="shared" si="19"/>
        <v>0.99927621235555741</v>
      </c>
      <c r="J50" s="82">
        <f t="shared" si="30"/>
        <v>99084.169898484237</v>
      </c>
      <c r="K50" s="82">
        <f t="shared" si="20"/>
        <v>71.715897932369245</v>
      </c>
      <c r="L50" s="82">
        <f t="shared" si="21"/>
        <v>495241.55974759022</v>
      </c>
      <c r="M50" s="82">
        <f>SUM(L50:$L$65)</f>
        <v>5877171.9949972704</v>
      </c>
      <c r="N50" s="82">
        <f t="shared" si="22"/>
        <v>59.314944062393337</v>
      </c>
      <c r="P50" s="94">
        <v>10</v>
      </c>
      <c r="Q50" s="94">
        <v>5</v>
      </c>
      <c r="R50" s="95">
        <v>2.5</v>
      </c>
      <c r="S50" s="81">
        <f>Defunciones!R11</f>
        <v>6.0102564102564102</v>
      </c>
      <c r="T50" s="96">
        <f>Poblacion!R8</f>
        <v>19781.403266335408</v>
      </c>
      <c r="U50" s="82">
        <f t="shared" si="23"/>
        <v>3.0383367293688649E-4</v>
      </c>
      <c r="V50" s="82">
        <f t="shared" si="31"/>
        <v>3.0383367293688649E-4</v>
      </c>
      <c r="W50" s="82">
        <f t="shared" si="24"/>
        <v>1.5180153042707548E-3</v>
      </c>
      <c r="X50" s="82">
        <f t="shared" si="25"/>
        <v>0.99848198469572924</v>
      </c>
      <c r="Y50" s="82">
        <f t="shared" si="32"/>
        <v>99189.615193909121</v>
      </c>
      <c r="Z50" s="82">
        <f t="shared" si="26"/>
        <v>150.57135388908105</v>
      </c>
      <c r="AA50" s="82">
        <f t="shared" si="27"/>
        <v>495571.64758482284</v>
      </c>
      <c r="AB50" s="82">
        <f>SUM(AA50:$AA$65)</f>
        <v>6659130.2429459887</v>
      </c>
      <c r="AC50" s="82">
        <f t="shared" si="28"/>
        <v>67.135357163427145</v>
      </c>
    </row>
    <row r="51" spans="1:29" ht="16.5" thickTop="1" thickBot="1" x14ac:dyDescent="0.3">
      <c r="A51" s="94">
        <v>15</v>
      </c>
      <c r="B51" s="94">
        <v>5</v>
      </c>
      <c r="C51" s="95">
        <v>2.5</v>
      </c>
      <c r="D51" s="82">
        <f>Defunciones!H12</f>
        <v>26</v>
      </c>
      <c r="E51" s="102">
        <f>Poblacion!Q9</f>
        <v>21518.665569446599</v>
      </c>
      <c r="F51" s="82">
        <f t="shared" si="17"/>
        <v>1.2082533610688318E-3</v>
      </c>
      <c r="G51" s="82">
        <f t="shared" si="29"/>
        <v>1.2082533610688318E-3</v>
      </c>
      <c r="H51" s="82">
        <f t="shared" si="18"/>
        <v>6.0230733089204911E-3</v>
      </c>
      <c r="I51" s="82">
        <f t="shared" si="19"/>
        <v>0.99397692669107951</v>
      </c>
      <c r="J51" s="82">
        <f t="shared" si="30"/>
        <v>99012.454000551865</v>
      </c>
      <c r="K51" s="82">
        <f t="shared" si="20"/>
        <v>596.35926894144188</v>
      </c>
      <c r="L51" s="82">
        <f t="shared" si="21"/>
        <v>493571.37183040578</v>
      </c>
      <c r="M51" s="82">
        <f>SUM(L51:$L$65)</f>
        <v>5381930.4352496816</v>
      </c>
      <c r="N51" s="82">
        <f t="shared" si="22"/>
        <v>54.35609580204612</v>
      </c>
      <c r="P51" s="94">
        <v>15</v>
      </c>
      <c r="Q51" s="94">
        <v>5</v>
      </c>
      <c r="R51" s="95">
        <v>2.5</v>
      </c>
      <c r="S51" s="81">
        <f>Defunciones!R12</f>
        <v>3.0051282051282051</v>
      </c>
      <c r="T51" s="96">
        <f>Poblacion!R9</f>
        <v>20597.41098638796</v>
      </c>
      <c r="U51" s="82">
        <f t="shared" si="23"/>
        <v>1.4589834650161515E-4</v>
      </c>
      <c r="V51" s="82">
        <f t="shared" si="31"/>
        <v>1.4589834650161515E-4</v>
      </c>
      <c r="W51" s="82">
        <f t="shared" si="24"/>
        <v>7.2922575043004039E-4</v>
      </c>
      <c r="X51" s="82">
        <f t="shared" si="25"/>
        <v>0.99927077424957</v>
      </c>
      <c r="Y51" s="82">
        <f t="shared" si="32"/>
        <v>99039.043840020036</v>
      </c>
      <c r="Z51" s="82">
        <f t="shared" si="26"/>
        <v>72.221821066112284</v>
      </c>
      <c r="AA51" s="82">
        <f t="shared" si="27"/>
        <v>495014.6646474349</v>
      </c>
      <c r="AB51" s="82">
        <f>SUM(AA51:$AA$65)</f>
        <v>6163558.5953611657</v>
      </c>
      <c r="AC51" s="82">
        <f t="shared" si="28"/>
        <v>62.233623795048935</v>
      </c>
    </row>
    <row r="52" spans="1:29" ht="16.5" thickTop="1" thickBot="1" x14ac:dyDescent="0.3">
      <c r="A52" s="94">
        <v>20</v>
      </c>
      <c r="B52" s="94">
        <v>5</v>
      </c>
      <c r="C52" s="95">
        <v>2.5</v>
      </c>
      <c r="D52" s="82">
        <f>Defunciones!H13</f>
        <v>45</v>
      </c>
      <c r="E52" s="102">
        <f>Poblacion!Q10</f>
        <v>21580.457897704706</v>
      </c>
      <c r="F52" s="82">
        <f t="shared" si="17"/>
        <v>2.0852198879795871E-3</v>
      </c>
      <c r="G52" s="82">
        <f t="shared" si="29"/>
        <v>2.0852198879795871E-3</v>
      </c>
      <c r="H52" s="82">
        <f t="shared" si="18"/>
        <v>1.0372029534239168E-2</v>
      </c>
      <c r="I52" s="82">
        <f t="shared" si="19"/>
        <v>0.98962797046576079</v>
      </c>
      <c r="J52" s="82">
        <f t="shared" si="30"/>
        <v>98416.094731610428</v>
      </c>
      <c r="K52" s="82">
        <f t="shared" si="20"/>
        <v>1020.7746412007432</v>
      </c>
      <c r="L52" s="82">
        <f t="shared" si="21"/>
        <v>489528.5370550502</v>
      </c>
      <c r="M52" s="82">
        <f>SUM(L52:$L$65)</f>
        <v>4888359.0634192759</v>
      </c>
      <c r="N52" s="82">
        <f t="shared" si="22"/>
        <v>49.670321472826899</v>
      </c>
      <c r="P52" s="94">
        <v>20</v>
      </c>
      <c r="Q52" s="94">
        <v>5</v>
      </c>
      <c r="R52" s="95">
        <v>2.5</v>
      </c>
      <c r="S52" s="81">
        <f>Defunciones!R13</f>
        <v>13.022222222222222</v>
      </c>
      <c r="T52" s="96">
        <f>Poblacion!R10</f>
        <v>21159.801111145924</v>
      </c>
      <c r="U52" s="82">
        <f t="shared" si="23"/>
        <v>6.1542271374955253E-4</v>
      </c>
      <c r="V52" s="82">
        <f t="shared" si="31"/>
        <v>6.1542271374955253E-4</v>
      </c>
      <c r="W52" s="82">
        <f t="shared" si="24"/>
        <v>3.0723865276114869E-3</v>
      </c>
      <c r="X52" s="82">
        <f t="shared" si="25"/>
        <v>0.99692761347238856</v>
      </c>
      <c r="Y52" s="82">
        <f t="shared" si="32"/>
        <v>98966.822018953928</v>
      </c>
      <c r="Z52" s="82">
        <f t="shared" si="26"/>
        <v>304.0643306515579</v>
      </c>
      <c r="AA52" s="82">
        <f t="shared" si="27"/>
        <v>494073.94926814077</v>
      </c>
      <c r="AB52" s="82">
        <f>SUM(AA52:$AA$65)</f>
        <v>5668543.9307137309</v>
      </c>
      <c r="AC52" s="82">
        <f t="shared" si="28"/>
        <v>57.277214879428001</v>
      </c>
    </row>
    <row r="53" spans="1:29" ht="16.5" thickTop="1" thickBot="1" x14ac:dyDescent="0.3">
      <c r="A53" s="94">
        <v>25</v>
      </c>
      <c r="B53" s="94">
        <v>5</v>
      </c>
      <c r="C53" s="95">
        <v>2.5</v>
      </c>
      <c r="D53" s="82">
        <f>Defunciones!H14</f>
        <v>56</v>
      </c>
      <c r="E53" s="102">
        <f>Poblacion!Q11</f>
        <v>20906.686456654719</v>
      </c>
      <c r="F53" s="82">
        <f t="shared" si="17"/>
        <v>2.6785688930717607E-3</v>
      </c>
      <c r="G53" s="82">
        <f t="shared" si="29"/>
        <v>2.6785688930717607E-3</v>
      </c>
      <c r="H53" s="82">
        <f t="shared" si="18"/>
        <v>1.3303756891929527E-2</v>
      </c>
      <c r="I53" s="82">
        <f t="shared" si="19"/>
        <v>0.98669624310807047</v>
      </c>
      <c r="J53" s="82">
        <f t="shared" si="30"/>
        <v>97395.320090409674</v>
      </c>
      <c r="K53" s="82">
        <f t="shared" si="20"/>
        <v>1295.72366089447</v>
      </c>
      <c r="L53" s="82">
        <f t="shared" si="21"/>
        <v>483737.2912998122</v>
      </c>
      <c r="M53" s="82">
        <f>SUM(L53:$L$65)</f>
        <v>4398830.5263642259</v>
      </c>
      <c r="N53" s="82">
        <f t="shared" si="22"/>
        <v>45.164701161009582</v>
      </c>
      <c r="P53" s="94">
        <v>25</v>
      </c>
      <c r="Q53" s="94">
        <v>5</v>
      </c>
      <c r="R53" s="95">
        <v>2.5</v>
      </c>
      <c r="S53" s="81">
        <f>Defunciones!R14</f>
        <v>8.0136752136752136</v>
      </c>
      <c r="T53" s="96">
        <f>Poblacion!R11</f>
        <v>21283.920679737646</v>
      </c>
      <c r="U53" s="82">
        <f t="shared" si="23"/>
        <v>3.7651311214029545E-4</v>
      </c>
      <c r="V53" s="82">
        <f t="shared" si="31"/>
        <v>3.7651311214029545E-4</v>
      </c>
      <c r="W53" s="82">
        <f t="shared" si="24"/>
        <v>1.8807952005658183E-3</v>
      </c>
      <c r="X53" s="82">
        <f t="shared" si="25"/>
        <v>0.99811920479943417</v>
      </c>
      <c r="Y53" s="82">
        <f t="shared" si="32"/>
        <v>98662.757688302372</v>
      </c>
      <c r="Z53" s="82">
        <f t="shared" si="26"/>
        <v>185.5644411347474</v>
      </c>
      <c r="AA53" s="82">
        <f t="shared" si="27"/>
        <v>492849.87733867503</v>
      </c>
      <c r="AB53" s="82">
        <f>SUM(AA53:$AA$65)</f>
        <v>5174469.98144559</v>
      </c>
      <c r="AC53" s="82">
        <f t="shared" si="28"/>
        <v>52.446030322737315</v>
      </c>
    </row>
    <row r="54" spans="1:29" ht="16.5" thickTop="1" thickBot="1" x14ac:dyDescent="0.3">
      <c r="A54" s="94">
        <v>30</v>
      </c>
      <c r="B54" s="94">
        <v>5</v>
      </c>
      <c r="C54" s="95">
        <v>2.5</v>
      </c>
      <c r="D54" s="82">
        <f>Defunciones!H15</f>
        <v>66</v>
      </c>
      <c r="E54" s="102">
        <f>Poblacion!Q12</f>
        <v>19565.13108791555</v>
      </c>
      <c r="F54" s="82">
        <f t="shared" si="17"/>
        <v>3.3733482133817675E-3</v>
      </c>
      <c r="G54" s="82">
        <f t="shared" si="29"/>
        <v>3.3733482133817675E-3</v>
      </c>
      <c r="H54" s="82">
        <f t="shared" si="18"/>
        <v>1.6725687149748369E-2</v>
      </c>
      <c r="I54" s="82">
        <f t="shared" si="19"/>
        <v>0.98327431285025169</v>
      </c>
      <c r="J54" s="82">
        <f t="shared" si="30"/>
        <v>96099.596429515208</v>
      </c>
      <c r="K54" s="82">
        <f t="shared" si="20"/>
        <v>1607.3317850971468</v>
      </c>
      <c r="L54" s="82">
        <f t="shared" si="21"/>
        <v>476479.65268483321</v>
      </c>
      <c r="M54" s="82">
        <f>SUM(L54:$L$65)</f>
        <v>3915093.2350644129</v>
      </c>
      <c r="N54" s="82">
        <f t="shared" si="22"/>
        <v>40.739955010487066</v>
      </c>
      <c r="P54" s="94">
        <v>30</v>
      </c>
      <c r="Q54" s="94">
        <v>5</v>
      </c>
      <c r="R54" s="95">
        <v>2.5</v>
      </c>
      <c r="S54" s="81">
        <f>Defunciones!R15</f>
        <v>17.029059829059829</v>
      </c>
      <c r="T54" s="96">
        <f>Poblacion!R12</f>
        <v>20667.9553050508</v>
      </c>
      <c r="U54" s="82">
        <f t="shared" si="23"/>
        <v>8.2393539069141957E-4</v>
      </c>
      <c r="V54" s="82">
        <f t="shared" si="31"/>
        <v>8.2393539069141957E-4</v>
      </c>
      <c r="W54" s="82">
        <f t="shared" si="24"/>
        <v>4.1112085279453817E-3</v>
      </c>
      <c r="X54" s="82">
        <f t="shared" si="25"/>
        <v>0.99588879147205467</v>
      </c>
      <c r="Y54" s="82">
        <f t="shared" si="32"/>
        <v>98477.193247167626</v>
      </c>
      <c r="Z54" s="82">
        <f t="shared" si="26"/>
        <v>404.86027668588088</v>
      </c>
      <c r="AA54" s="82">
        <f t="shared" si="27"/>
        <v>491373.81554412341</v>
      </c>
      <c r="AB54" s="82">
        <f>SUM(AA54:$AA$65)</f>
        <v>4681620.1041069152</v>
      </c>
      <c r="AC54" s="82">
        <f t="shared" si="28"/>
        <v>47.540145588395582</v>
      </c>
    </row>
    <row r="55" spans="1:29" ht="16.5" thickTop="1" thickBot="1" x14ac:dyDescent="0.3">
      <c r="A55" s="94">
        <v>35</v>
      </c>
      <c r="B55" s="94">
        <v>5</v>
      </c>
      <c r="C55" s="95">
        <v>2.5</v>
      </c>
      <c r="D55" s="82">
        <f>Defunciones!H16</f>
        <v>82</v>
      </c>
      <c r="E55" s="102">
        <f>Poblacion!Q13</f>
        <v>17913.406667613883</v>
      </c>
      <c r="F55" s="82">
        <f t="shared" si="17"/>
        <v>4.5775770919246729E-3</v>
      </c>
      <c r="G55" s="82">
        <f t="shared" si="29"/>
        <v>4.5775770919246729E-3</v>
      </c>
      <c r="H55" s="82">
        <f t="shared" si="18"/>
        <v>2.2628921379321005E-2</v>
      </c>
      <c r="I55" s="82">
        <f t="shared" si="19"/>
        <v>0.97737107862067896</v>
      </c>
      <c r="J55" s="82">
        <f t="shared" si="30"/>
        <v>94492.264644418072</v>
      </c>
      <c r="K55" s="82">
        <f t="shared" si="20"/>
        <v>2138.2580275925302</v>
      </c>
      <c r="L55" s="82">
        <f t="shared" si="21"/>
        <v>467115.67815310904</v>
      </c>
      <c r="M55" s="82">
        <f>SUM(L55:$L$65)</f>
        <v>3438613.5823795795</v>
      </c>
      <c r="N55" s="82">
        <f t="shared" si="22"/>
        <v>36.390424076715242</v>
      </c>
      <c r="P55" s="94">
        <v>35</v>
      </c>
      <c r="Q55" s="94">
        <v>5</v>
      </c>
      <c r="R55" s="95">
        <v>2.5</v>
      </c>
      <c r="S55" s="81">
        <f>Defunciones!R16</f>
        <v>22.037606837606837</v>
      </c>
      <c r="T55" s="96">
        <f>Poblacion!R13</f>
        <v>19640.128535523938</v>
      </c>
      <c r="U55" s="82">
        <f t="shared" si="23"/>
        <v>1.1220703977444179E-3</v>
      </c>
      <c r="V55" s="82">
        <f t="shared" si="31"/>
        <v>1.1220703977444179E-3</v>
      </c>
      <c r="W55" s="82">
        <f t="shared" si="24"/>
        <v>5.594657988436268E-3</v>
      </c>
      <c r="X55" s="82">
        <f t="shared" si="25"/>
        <v>0.99440534201156372</v>
      </c>
      <c r="Y55" s="82">
        <f t="shared" si="32"/>
        <v>98072.332970481744</v>
      </c>
      <c r="Z55" s="82">
        <f t="shared" si="26"/>
        <v>548.6811610978873</v>
      </c>
      <c r="AA55" s="82">
        <f t="shared" si="27"/>
        <v>488989.96194966399</v>
      </c>
      <c r="AB55" s="82">
        <f>SUM(AA55:$AA$65)</f>
        <v>4190246.2885627924</v>
      </c>
      <c r="AC55" s="82">
        <f t="shared" si="28"/>
        <v>42.726079431841306</v>
      </c>
    </row>
    <row r="56" spans="1:29" ht="16.5" thickTop="1" thickBot="1" x14ac:dyDescent="0.3">
      <c r="A56" s="94">
        <v>40</v>
      </c>
      <c r="B56" s="94">
        <v>5</v>
      </c>
      <c r="C56" s="95">
        <v>2.5</v>
      </c>
      <c r="D56" s="82">
        <f>Defunciones!H17</f>
        <v>104</v>
      </c>
      <c r="E56" s="102">
        <f>Poblacion!Q14</f>
        <v>16815.542634135632</v>
      </c>
      <c r="F56" s="82">
        <f t="shared" si="17"/>
        <v>6.1847543229963629E-3</v>
      </c>
      <c r="G56" s="82">
        <f t="shared" si="29"/>
        <v>6.1847543229963629E-3</v>
      </c>
      <c r="H56" s="82">
        <f t="shared" si="18"/>
        <v>3.0452912164587415E-2</v>
      </c>
      <c r="I56" s="82">
        <f t="shared" si="19"/>
        <v>0.96954708783541255</v>
      </c>
      <c r="J56" s="82">
        <f t="shared" si="30"/>
        <v>92354.006616825543</v>
      </c>
      <c r="K56" s="82">
        <f t="shared" si="20"/>
        <v>2812.4484515499134</v>
      </c>
      <c r="L56" s="82">
        <f t="shared" si="21"/>
        <v>454738.91195525287</v>
      </c>
      <c r="M56" s="82">
        <f>SUM(L56:$L$65)</f>
        <v>2971497.9042264707</v>
      </c>
      <c r="N56" s="82">
        <f t="shared" si="22"/>
        <v>32.175083822352626</v>
      </c>
      <c r="P56" s="94">
        <v>40</v>
      </c>
      <c r="Q56" s="94">
        <v>5</v>
      </c>
      <c r="R56" s="95">
        <v>2.5</v>
      </c>
      <c r="S56" s="81">
        <f>Defunciones!R17</f>
        <v>40.068376068376068</v>
      </c>
      <c r="T56" s="96">
        <f>Poblacion!R14</f>
        <v>19054.106919506925</v>
      </c>
      <c r="U56" s="82">
        <f t="shared" si="23"/>
        <v>2.1028734769697062E-3</v>
      </c>
      <c r="V56" s="82">
        <f t="shared" si="31"/>
        <v>2.1028734769697062E-3</v>
      </c>
      <c r="W56" s="82">
        <f t="shared" si="24"/>
        <v>1.0459380500249759E-2</v>
      </c>
      <c r="X56" s="82">
        <f t="shared" si="25"/>
        <v>0.98954061949975025</v>
      </c>
      <c r="Y56" s="82">
        <f t="shared" si="32"/>
        <v>97523.651809383853</v>
      </c>
      <c r="Z56" s="82">
        <f t="shared" si="26"/>
        <v>1020.0369820482166</v>
      </c>
      <c r="AA56" s="82">
        <f t="shared" si="27"/>
        <v>485068.16659179871</v>
      </c>
      <c r="AB56" s="82">
        <f>SUM(AA56:$AA$65)</f>
        <v>3701256.3266131282</v>
      </c>
      <c r="AC56" s="82">
        <f t="shared" si="28"/>
        <v>37.952396756506495</v>
      </c>
    </row>
    <row r="57" spans="1:29" ht="16.5" thickTop="1" thickBot="1" x14ac:dyDescent="0.3">
      <c r="A57" s="94">
        <v>45</v>
      </c>
      <c r="B57" s="94">
        <v>5</v>
      </c>
      <c r="C57" s="95">
        <v>2.5</v>
      </c>
      <c r="D57" s="82">
        <f>Defunciones!H18</f>
        <v>133</v>
      </c>
      <c r="E57" s="102">
        <f>Poblacion!Q15</f>
        <v>16701.315871530609</v>
      </c>
      <c r="F57" s="82">
        <f t="shared" si="17"/>
        <v>7.9634443790572457E-3</v>
      </c>
      <c r="G57" s="82">
        <f t="shared" si="29"/>
        <v>7.9634443790572457E-3</v>
      </c>
      <c r="H57" s="82">
        <f t="shared" si="18"/>
        <v>3.9039989924479851E-2</v>
      </c>
      <c r="I57" s="82">
        <f t="shared" si="19"/>
        <v>0.96096001007552012</v>
      </c>
      <c r="J57" s="82">
        <f t="shared" si="30"/>
        <v>89541.558165275623</v>
      </c>
      <c r="K57" s="82">
        <f t="shared" si="20"/>
        <v>3495.7015285945868</v>
      </c>
      <c r="L57" s="82">
        <f t="shared" si="21"/>
        <v>438968.53700489161</v>
      </c>
      <c r="M57" s="82">
        <f>SUM(L57:$L$65)</f>
        <v>2516758.9922712171</v>
      </c>
      <c r="N57" s="82">
        <f t="shared" si="22"/>
        <v>28.107161008140917</v>
      </c>
      <c r="P57" s="94">
        <v>45</v>
      </c>
      <c r="Q57" s="94">
        <v>5</v>
      </c>
      <c r="R57" s="95">
        <v>2.5</v>
      </c>
      <c r="S57" s="81">
        <f>Defunciones!R18</f>
        <v>61.104273504273507</v>
      </c>
      <c r="T57" s="96">
        <f>Poblacion!R15</f>
        <v>19240.774927434202</v>
      </c>
      <c r="U57" s="82">
        <f t="shared" si="23"/>
        <v>3.1757698811365853E-3</v>
      </c>
      <c r="V57" s="82">
        <f t="shared" si="31"/>
        <v>3.1757698811365853E-3</v>
      </c>
      <c r="W57" s="82">
        <f t="shared" si="24"/>
        <v>1.575377350713739E-2</v>
      </c>
      <c r="X57" s="82">
        <f t="shared" si="25"/>
        <v>0.98424622649286264</v>
      </c>
      <c r="Y57" s="82">
        <f t="shared" si="32"/>
        <v>96503.614827335638</v>
      </c>
      <c r="Z57" s="82">
        <f t="shared" si="26"/>
        <v>1520.2960906098713</v>
      </c>
      <c r="AA57" s="82">
        <f t="shared" si="27"/>
        <v>478717.33391015348</v>
      </c>
      <c r="AB57" s="82">
        <f>SUM(AA57:$AA$65)</f>
        <v>3216188.1600213293</v>
      </c>
      <c r="AC57" s="82">
        <f t="shared" si="28"/>
        <v>33.327126302737327</v>
      </c>
    </row>
    <row r="58" spans="1:29" ht="16.5" thickTop="1" thickBot="1" x14ac:dyDescent="0.3">
      <c r="A58" s="94">
        <v>50</v>
      </c>
      <c r="B58" s="94">
        <v>5</v>
      </c>
      <c r="C58" s="95">
        <v>2.5</v>
      </c>
      <c r="D58" s="82">
        <f>Defunciones!H19</f>
        <v>161</v>
      </c>
      <c r="E58" s="102">
        <f>Poblacion!Q16</f>
        <v>15884.21618186156</v>
      </c>
      <c r="F58" s="82">
        <f t="shared" si="17"/>
        <v>1.0135847948471544E-2</v>
      </c>
      <c r="G58" s="82">
        <f t="shared" si="29"/>
        <v>1.0135847948471544E-2</v>
      </c>
      <c r="H58" s="82">
        <f t="shared" si="18"/>
        <v>4.9426783828683936E-2</v>
      </c>
      <c r="I58" s="82">
        <f t="shared" si="19"/>
        <v>0.95057321617131607</v>
      </c>
      <c r="J58" s="82">
        <f t="shared" si="30"/>
        <v>86045.856636681026</v>
      </c>
      <c r="K58" s="82">
        <f t="shared" si="20"/>
        <v>4252.969955335162</v>
      </c>
      <c r="L58" s="82">
        <f t="shared" si="21"/>
        <v>419596.85829506721</v>
      </c>
      <c r="M58" s="82">
        <f>SUM(L58:$L$65)</f>
        <v>2077790.4552663262</v>
      </c>
      <c r="N58" s="82">
        <f t="shared" si="22"/>
        <v>24.147478292180452</v>
      </c>
      <c r="P58" s="94">
        <v>50</v>
      </c>
      <c r="Q58" s="94">
        <v>5</v>
      </c>
      <c r="R58" s="95">
        <v>2.5</v>
      </c>
      <c r="S58" s="81">
        <f>Defunciones!R19</f>
        <v>93.158974358974362</v>
      </c>
      <c r="T58" s="96">
        <f>Poblacion!R16</f>
        <v>18298.536876338076</v>
      </c>
      <c r="U58" s="82">
        <f t="shared" si="23"/>
        <v>5.091061377668871E-3</v>
      </c>
      <c r="V58" s="82">
        <f t="shared" si="31"/>
        <v>5.091061377668871E-3</v>
      </c>
      <c r="W58" s="82">
        <f t="shared" si="24"/>
        <v>2.5135392325640295E-2</v>
      </c>
      <c r="X58" s="82">
        <f t="shared" si="25"/>
        <v>0.97486460767435967</v>
      </c>
      <c r="Y58" s="82">
        <f t="shared" si="32"/>
        <v>94983.318736725763</v>
      </c>
      <c r="Z58" s="82">
        <f t="shared" si="26"/>
        <v>2387.4429808389427</v>
      </c>
      <c r="AA58" s="82">
        <f t="shared" si="27"/>
        <v>468947.98623153148</v>
      </c>
      <c r="AB58" s="82">
        <f>SUM(AA58:$AA$65)</f>
        <v>2737470.8261111761</v>
      </c>
      <c r="AC58" s="82">
        <f t="shared" si="28"/>
        <v>28.82054304397262</v>
      </c>
    </row>
    <row r="59" spans="1:29" ht="16.5" thickTop="1" thickBot="1" x14ac:dyDescent="0.3">
      <c r="A59" s="94">
        <v>55</v>
      </c>
      <c r="B59" s="94">
        <v>5</v>
      </c>
      <c r="C59" s="95">
        <v>2.5</v>
      </c>
      <c r="D59" s="82">
        <f>Defunciones!H20</f>
        <v>256</v>
      </c>
      <c r="E59" s="102">
        <f>Poblacion!Q17</f>
        <v>13806.694338496181</v>
      </c>
      <c r="F59" s="82">
        <f t="shared" si="17"/>
        <v>1.8541730100174247E-2</v>
      </c>
      <c r="G59" s="82">
        <f t="shared" si="29"/>
        <v>1.8541730100174247E-2</v>
      </c>
      <c r="H59" s="82">
        <f t="shared" si="18"/>
        <v>8.8601583864703043E-2</v>
      </c>
      <c r="I59" s="82">
        <f t="shared" si="19"/>
        <v>0.91139841613529693</v>
      </c>
      <c r="J59" s="82">
        <f t="shared" si="30"/>
        <v>81792.886681345859</v>
      </c>
      <c r="K59" s="82">
        <f t="shared" si="20"/>
        <v>7246.9793088334172</v>
      </c>
      <c r="L59" s="82">
        <f t="shared" si="21"/>
        <v>390846.98513464571</v>
      </c>
      <c r="M59" s="82">
        <f>SUM(L59:$L$65)</f>
        <v>1658193.596971259</v>
      </c>
      <c r="N59" s="82">
        <f t="shared" si="22"/>
        <v>20.27307831097048</v>
      </c>
      <c r="P59" s="94">
        <v>55</v>
      </c>
      <c r="Q59" s="94">
        <v>5</v>
      </c>
      <c r="R59" s="95">
        <v>2.5</v>
      </c>
      <c r="S59" s="81">
        <f>Defunciones!R20</f>
        <v>143.24444444444444</v>
      </c>
      <c r="T59" s="96">
        <f>Poblacion!R17</f>
        <v>15678.932109348585</v>
      </c>
      <c r="U59" s="82">
        <f t="shared" si="23"/>
        <v>9.1361097455760227E-3</v>
      </c>
      <c r="V59" s="82">
        <f t="shared" si="31"/>
        <v>9.1361097455760227E-3</v>
      </c>
      <c r="W59" s="82">
        <f t="shared" si="24"/>
        <v>4.4660490863333346E-2</v>
      </c>
      <c r="X59" s="82">
        <f t="shared" si="25"/>
        <v>0.95533950913666665</v>
      </c>
      <c r="Y59" s="82">
        <f t="shared" si="32"/>
        <v>92595.875755886824</v>
      </c>
      <c r="Z59" s="82">
        <f t="shared" si="26"/>
        <v>4135.377263178133</v>
      </c>
      <c r="AA59" s="82">
        <f t="shared" si="27"/>
        <v>452640.93562148878</v>
      </c>
      <c r="AB59" s="82">
        <f>SUM(AA59:$AA$65)</f>
        <v>2268522.8398796441</v>
      </c>
      <c r="AC59" s="82">
        <f t="shared" si="28"/>
        <v>24.499177974840006</v>
      </c>
    </row>
    <row r="60" spans="1:29" ht="16.5" thickTop="1" thickBot="1" x14ac:dyDescent="0.3">
      <c r="A60" s="94">
        <v>60</v>
      </c>
      <c r="B60" s="94">
        <v>5</v>
      </c>
      <c r="C60" s="95">
        <v>2.5</v>
      </c>
      <c r="D60" s="82">
        <f>Defunciones!H21</f>
        <v>274</v>
      </c>
      <c r="E60" s="102">
        <f>Poblacion!Q18</f>
        <v>11242.944743821075</v>
      </c>
      <c r="F60" s="82">
        <f t="shared" si="17"/>
        <v>2.4370839334649008E-2</v>
      </c>
      <c r="G60" s="82">
        <f t="shared" si="29"/>
        <v>2.4370839334649008E-2</v>
      </c>
      <c r="H60" s="82">
        <f t="shared" si="18"/>
        <v>0.11485633354477841</v>
      </c>
      <c r="I60" s="82">
        <f t="shared" si="19"/>
        <v>0.88514366645522158</v>
      </c>
      <c r="J60" s="82">
        <f t="shared" si="30"/>
        <v>74545.907372512433</v>
      </c>
      <c r="K60" s="82">
        <f t="shared" si="20"/>
        <v>8562.0696015754438</v>
      </c>
      <c r="L60" s="82">
        <f t="shared" si="21"/>
        <v>351324.36285862356</v>
      </c>
      <c r="M60" s="82">
        <f>SUM(L60:$L$65)</f>
        <v>1267346.6118366132</v>
      </c>
      <c r="N60" s="82">
        <f t="shared" si="22"/>
        <v>17.000887862341941</v>
      </c>
      <c r="P60" s="94">
        <v>60</v>
      </c>
      <c r="Q60" s="94">
        <v>5</v>
      </c>
      <c r="R60" s="95">
        <v>2.5</v>
      </c>
      <c r="S60" s="81">
        <f>Defunciones!R21</f>
        <v>184.31452991452991</v>
      </c>
      <c r="T60" s="96">
        <f>Poblacion!R18</f>
        <v>12732.033867304426</v>
      </c>
      <c r="U60" s="82">
        <f t="shared" si="23"/>
        <v>1.4476440436421194E-2</v>
      </c>
      <c r="V60" s="82">
        <f t="shared" si="31"/>
        <v>1.4476440436421194E-2</v>
      </c>
      <c r="W60" s="82">
        <f t="shared" si="24"/>
        <v>6.9854105199216102E-2</v>
      </c>
      <c r="X60" s="82">
        <f t="shared" si="25"/>
        <v>0.93014589480078391</v>
      </c>
      <c r="Y60" s="82">
        <f t="shared" si="32"/>
        <v>88460.498492708692</v>
      </c>
      <c r="Z60" s="82">
        <f t="shared" si="26"/>
        <v>6179.3289676847708</v>
      </c>
      <c r="AA60" s="82">
        <f t="shared" si="27"/>
        <v>426854.17004433152</v>
      </c>
      <c r="AB60" s="82">
        <f>SUM(AA60:$AA$65)</f>
        <v>1815881.9042581553</v>
      </c>
      <c r="AC60" s="82">
        <f t="shared" si="28"/>
        <v>20.527601982797197</v>
      </c>
    </row>
    <row r="61" spans="1:29" ht="16.5" thickTop="1" thickBot="1" x14ac:dyDescent="0.3">
      <c r="A61" s="94">
        <v>65</v>
      </c>
      <c r="B61" s="94">
        <v>5</v>
      </c>
      <c r="C61" s="95">
        <v>2.5</v>
      </c>
      <c r="D61" s="82">
        <f>Defunciones!H22</f>
        <v>295</v>
      </c>
      <c r="E61" s="102">
        <f>Poblacion!Q19</f>
        <v>8171.8368221910941</v>
      </c>
      <c r="F61" s="82">
        <f t="shared" si="17"/>
        <v>3.6099595038279579E-2</v>
      </c>
      <c r="G61" s="82">
        <f t="shared" si="29"/>
        <v>3.6099595038279579E-2</v>
      </c>
      <c r="H61" s="82">
        <f t="shared" si="18"/>
        <v>0.16555665471375117</v>
      </c>
      <c r="I61" s="82">
        <f t="shared" si="19"/>
        <v>0.83444334528624886</v>
      </c>
      <c r="J61" s="82">
        <f t="shared" si="30"/>
        <v>65983.837770936982</v>
      </c>
      <c r="K61" s="82">
        <f t="shared" si="20"/>
        <v>10924.063446531187</v>
      </c>
      <c r="L61" s="82">
        <f t="shared" si="21"/>
        <v>302609.03023835697</v>
      </c>
      <c r="M61" s="82">
        <f>SUM(L61:$L$65)</f>
        <v>916022.24897798942</v>
      </c>
      <c r="N61" s="82">
        <f t="shared" si="22"/>
        <v>13.882524568485428</v>
      </c>
      <c r="P61" s="94">
        <v>65</v>
      </c>
      <c r="Q61" s="94">
        <v>5</v>
      </c>
      <c r="R61" s="95">
        <v>2.5</v>
      </c>
      <c r="S61" s="81">
        <f>Defunciones!R22</f>
        <v>188.32136752136751</v>
      </c>
      <c r="T61" s="96">
        <f>Poblacion!R19</f>
        <v>9128.2048435385932</v>
      </c>
      <c r="U61" s="82">
        <f t="shared" si="23"/>
        <v>2.0630712253863467E-2</v>
      </c>
      <c r="V61" s="82">
        <f t="shared" si="31"/>
        <v>2.0630712253863467E-2</v>
      </c>
      <c r="W61" s="82">
        <f t="shared" si="24"/>
        <v>9.8094179301925058E-2</v>
      </c>
      <c r="X61" s="82">
        <f t="shared" si="25"/>
        <v>0.9019058206980749</v>
      </c>
      <c r="Y61" s="82">
        <f t="shared" si="32"/>
        <v>82281.169525023928</v>
      </c>
      <c r="Z61" s="82">
        <f t="shared" si="26"/>
        <v>8071.3037965597887</v>
      </c>
      <c r="AA61" s="82">
        <f t="shared" si="27"/>
        <v>391227.58813372016</v>
      </c>
      <c r="AB61" s="82">
        <f>SUM(AA61:$AA$65)</f>
        <v>1389027.7342138237</v>
      </c>
      <c r="AC61" s="82">
        <f t="shared" si="28"/>
        <v>16.881477769848455</v>
      </c>
    </row>
    <row r="62" spans="1:29" ht="16.5" thickTop="1" thickBot="1" x14ac:dyDescent="0.3">
      <c r="A62" s="94">
        <v>70</v>
      </c>
      <c r="B62" s="94">
        <v>5</v>
      </c>
      <c r="C62" s="95">
        <v>2.5</v>
      </c>
      <c r="D62" s="82">
        <f>Defunciones!H23</f>
        <v>281</v>
      </c>
      <c r="E62" s="102">
        <f>Poblacion!Q20</f>
        <v>5074.3489051020197</v>
      </c>
      <c r="F62" s="82">
        <f t="shared" si="17"/>
        <v>5.5376562639882269E-2</v>
      </c>
      <c r="G62" s="82">
        <f t="shared" si="29"/>
        <v>5.5376562639882269E-2</v>
      </c>
      <c r="H62" s="82">
        <f t="shared" si="18"/>
        <v>0.24321217727524888</v>
      </c>
      <c r="I62" s="82">
        <f t="shared" si="19"/>
        <v>0.75678782272475109</v>
      </c>
      <c r="J62" s="82">
        <f t="shared" si="30"/>
        <v>55059.7743244058</v>
      </c>
      <c r="K62" s="82">
        <f t="shared" si="20"/>
        <v>13391.20759372258</v>
      </c>
      <c r="L62" s="82">
        <f t="shared" si="21"/>
        <v>241820.85263772254</v>
      </c>
      <c r="M62" s="82">
        <f>SUM(L62:$L$65)</f>
        <v>613413.21873963252</v>
      </c>
      <c r="N62" s="82">
        <f t="shared" si="22"/>
        <v>11.140859661455803</v>
      </c>
      <c r="P62" s="94">
        <v>70</v>
      </c>
      <c r="Q62" s="94">
        <v>5</v>
      </c>
      <c r="R62" s="95">
        <v>2.5</v>
      </c>
      <c r="S62" s="81">
        <f>Defunciones!R23</f>
        <v>193.32991452991453</v>
      </c>
      <c r="T62" s="96">
        <f>Poblacion!R20</f>
        <v>5485.4793777911009</v>
      </c>
      <c r="U62" s="82">
        <f t="shared" si="23"/>
        <v>3.5243941543676868E-2</v>
      </c>
      <c r="V62" s="82">
        <f t="shared" si="31"/>
        <v>3.5243941543676868E-2</v>
      </c>
      <c r="W62" s="82">
        <f t="shared" si="24"/>
        <v>0.16195029122600724</v>
      </c>
      <c r="X62" s="82">
        <f t="shared" si="25"/>
        <v>0.83804970877399276</v>
      </c>
      <c r="Y62" s="82">
        <f t="shared" si="32"/>
        <v>74209.865728464138</v>
      </c>
      <c r="Z62" s="82">
        <f t="shared" si="26"/>
        <v>12018.309366567661</v>
      </c>
      <c r="AA62" s="82">
        <f t="shared" si="27"/>
        <v>341003.55522590154</v>
      </c>
      <c r="AB62" s="82">
        <f>SUM(AA62:$AA$65)</f>
        <v>997800.1460801037</v>
      </c>
      <c r="AC62" s="82">
        <f t="shared" si="28"/>
        <v>13.44565357025548</v>
      </c>
    </row>
    <row r="63" spans="1:29" ht="16.5" thickTop="1" thickBot="1" x14ac:dyDescent="0.3">
      <c r="A63" s="94">
        <v>75</v>
      </c>
      <c r="B63" s="94">
        <v>5</v>
      </c>
      <c r="C63" s="95">
        <v>2.5</v>
      </c>
      <c r="D63" s="82">
        <f>Defunciones!H24</f>
        <v>200</v>
      </c>
      <c r="E63" s="102">
        <f>Poblacion!Q21</f>
        <v>2685.0399611984221</v>
      </c>
      <c r="F63" s="82">
        <f t="shared" si="17"/>
        <v>7.4486787120566125E-2</v>
      </c>
      <c r="G63" s="82">
        <f t="shared" si="29"/>
        <v>7.4486787120566125E-2</v>
      </c>
      <c r="H63" s="82">
        <f t="shared" si="18"/>
        <v>0.31396780328738289</v>
      </c>
      <c r="I63" s="82">
        <f t="shared" si="19"/>
        <v>0.68603219671261706</v>
      </c>
      <c r="J63" s="82">
        <f t="shared" si="30"/>
        <v>41668.566730683218</v>
      </c>
      <c r="K63" s="82">
        <f t="shared" si="20"/>
        <v>13082.588362566335</v>
      </c>
      <c r="L63" s="82">
        <f t="shared" si="21"/>
        <v>175636.36274700024</v>
      </c>
      <c r="M63" s="82">
        <f>SUM(L63:$L$65)</f>
        <v>371592.36610190995</v>
      </c>
      <c r="N63" s="82">
        <f t="shared" si="22"/>
        <v>8.9178101206030398</v>
      </c>
      <c r="P63" s="94">
        <v>75</v>
      </c>
      <c r="Q63" s="94">
        <v>5</v>
      </c>
      <c r="R63" s="95">
        <v>2.5</v>
      </c>
      <c r="S63" s="81">
        <f>Defunciones!R24</f>
        <v>175.29914529914529</v>
      </c>
      <c r="T63" s="96">
        <f>Poblacion!R21</f>
        <v>3019.4268805425254</v>
      </c>
      <c r="U63" s="82">
        <f t="shared" si="23"/>
        <v>5.8057092367028225E-2</v>
      </c>
      <c r="V63" s="82">
        <f t="shared" si="31"/>
        <v>5.8057092367028225E-2</v>
      </c>
      <c r="W63" s="82">
        <f t="shared" si="24"/>
        <v>0.25349282146038127</v>
      </c>
      <c r="X63" s="82">
        <f t="shared" si="25"/>
        <v>0.74650717853961868</v>
      </c>
      <c r="Y63" s="82">
        <f t="shared" si="32"/>
        <v>62191.556361896473</v>
      </c>
      <c r="Z63" s="82">
        <f t="shared" si="26"/>
        <v>15765.113093189462</v>
      </c>
      <c r="AA63" s="82">
        <f t="shared" si="27"/>
        <v>271544.99907650868</v>
      </c>
      <c r="AB63" s="82">
        <f>SUM(AA63:$AA$65)</f>
        <v>656796.59085420216</v>
      </c>
      <c r="AC63" s="82">
        <f t="shared" si="28"/>
        <v>10.560864356445151</v>
      </c>
    </row>
    <row r="64" spans="1:29" ht="16.5" thickTop="1" thickBot="1" x14ac:dyDescent="0.3">
      <c r="A64" s="94">
        <v>80</v>
      </c>
      <c r="B64" s="94">
        <v>5</v>
      </c>
      <c r="C64" s="95">
        <v>2.5</v>
      </c>
      <c r="D64" s="82">
        <f>Defunciones!H25</f>
        <v>143</v>
      </c>
      <c r="E64" s="102">
        <f>Poblacion!Q22</f>
        <v>1409.0309275339387</v>
      </c>
      <c r="F64" s="82">
        <f t="shared" si="17"/>
        <v>0.10148819107205553</v>
      </c>
      <c r="G64" s="82">
        <f t="shared" si="29"/>
        <v>0.10148819107205553</v>
      </c>
      <c r="H64" s="82">
        <f t="shared" si="18"/>
        <v>0.40474807933203499</v>
      </c>
      <c r="I64" s="82">
        <f t="shared" si="19"/>
        <v>0.59525192066796495</v>
      </c>
      <c r="J64" s="82">
        <f t="shared" si="30"/>
        <v>28585.978368116881</v>
      </c>
      <c r="K64" s="82">
        <f t="shared" si="20"/>
        <v>11570.119840322408</v>
      </c>
      <c r="L64" s="82">
        <f>B64*J65+C64*K64</f>
        <v>114004.5922397784</v>
      </c>
      <c r="M64" s="82">
        <f>SUM(L64:$L$65)</f>
        <v>195956.00335490968</v>
      </c>
      <c r="N64" s="82">
        <f t="shared" si="22"/>
        <v>6.8549692730988516</v>
      </c>
      <c r="P64" s="94">
        <v>80</v>
      </c>
      <c r="Q64" s="94">
        <v>5</v>
      </c>
      <c r="R64" s="95">
        <v>2.5</v>
      </c>
      <c r="S64" s="81">
        <f>Defunciones!R25</f>
        <v>153.26153846153846</v>
      </c>
      <c r="T64" s="96">
        <f>Poblacion!R22</f>
        <v>1818.8316984240287</v>
      </c>
      <c r="U64" s="82">
        <f t="shared" si="23"/>
        <v>8.4263727421473728E-2</v>
      </c>
      <c r="V64" s="82">
        <f t="shared" si="31"/>
        <v>8.4263727421473728E-2</v>
      </c>
      <c r="W64" s="82">
        <f t="shared" si="24"/>
        <v>0.34800759441615453</v>
      </c>
      <c r="X64" s="82">
        <f t="shared" si="25"/>
        <v>0.65199240558384552</v>
      </c>
      <c r="Y64" s="82">
        <f t="shared" si="32"/>
        <v>46426.443268707008</v>
      </c>
      <c r="Z64" s="82">
        <f t="shared" si="26"/>
        <v>16156.754839240795</v>
      </c>
      <c r="AA64" s="82">
        <f t="shared" si="27"/>
        <v>191740.32924543307</v>
      </c>
      <c r="AB64" s="82">
        <f>SUM(AA64:$AA$65)</f>
        <v>385251.59177769336</v>
      </c>
      <c r="AC64" s="82">
        <f t="shared" si="28"/>
        <v>8.2981069548647923</v>
      </c>
    </row>
    <row r="65" spans="1:29" ht="16.5" thickTop="1" thickBot="1" x14ac:dyDescent="0.3">
      <c r="A65" s="94">
        <v>85</v>
      </c>
      <c r="B65" s="94">
        <v>0</v>
      </c>
      <c r="C65" s="94">
        <v>0</v>
      </c>
      <c r="D65" s="82">
        <f>Defunciones!H26</f>
        <v>192</v>
      </c>
      <c r="E65" s="102">
        <f>Poblacion!Q23</f>
        <v>924.70626200867173</v>
      </c>
      <c r="F65" s="82">
        <f t="shared" si="17"/>
        <v>0.20763350253834387</v>
      </c>
      <c r="G65" s="82">
        <f t="shared" si="29"/>
        <v>0.20763350253834387</v>
      </c>
      <c r="H65" s="82">
        <f>1</f>
        <v>1</v>
      </c>
      <c r="I65" s="82">
        <f t="shared" si="19"/>
        <v>0</v>
      </c>
      <c r="J65" s="82">
        <f t="shared" si="30"/>
        <v>17015.858527794473</v>
      </c>
      <c r="K65" s="82">
        <f t="shared" si="20"/>
        <v>17015.858527794473</v>
      </c>
      <c r="L65" s="99">
        <f>J65/F65</f>
        <v>81951.411115131283</v>
      </c>
      <c r="M65" s="82">
        <f>SUM(L65:$L$65)</f>
        <v>81951.411115131283</v>
      </c>
      <c r="N65" s="82">
        <f t="shared" si="22"/>
        <v>4.8161784479618319</v>
      </c>
      <c r="P65" s="94">
        <v>85</v>
      </c>
      <c r="Q65" s="94">
        <v>0</v>
      </c>
      <c r="R65" s="94">
        <v>0</v>
      </c>
      <c r="S65" s="81">
        <f>Defunciones!R26</f>
        <v>257.43931623931621</v>
      </c>
      <c r="T65" s="96">
        <f>Poblacion!R23</f>
        <v>1645.7852622763319</v>
      </c>
      <c r="U65" s="98">
        <f t="shared" si="23"/>
        <v>0.15642339382918319</v>
      </c>
      <c r="V65" s="82">
        <f t="shared" si="31"/>
        <v>0.15642339382918319</v>
      </c>
      <c r="W65" s="82">
        <f>1</f>
        <v>1</v>
      </c>
      <c r="X65" s="82">
        <f t="shared" si="25"/>
        <v>0</v>
      </c>
      <c r="Y65" s="82">
        <f t="shared" si="32"/>
        <v>30269.688429466216</v>
      </c>
      <c r="Z65" s="82">
        <f t="shared" si="26"/>
        <v>30269.688429466216</v>
      </c>
      <c r="AA65" s="99">
        <f>Y65/U65</f>
        <v>193511.26253226033</v>
      </c>
      <c r="AB65" s="82">
        <f>SUM(AA65:$AA$65)</f>
        <v>193511.26253226033</v>
      </c>
      <c r="AC65" s="82">
        <f t="shared" si="28"/>
        <v>6.3929056614895838</v>
      </c>
    </row>
    <row r="66" spans="1:29" ht="15.75" thickTop="1" x14ac:dyDescent="0.25"/>
    <row r="84" spans="3:27" ht="15.75" x14ac:dyDescent="0.25">
      <c r="C84" s="214" t="s">
        <v>110</v>
      </c>
      <c r="D84" s="215"/>
      <c r="E84" s="215"/>
      <c r="H84" s="157" t="s">
        <v>155</v>
      </c>
      <c r="I84" s="157"/>
      <c r="J84" s="157"/>
      <c r="T84" s="204" t="s">
        <v>116</v>
      </c>
      <c r="U84" s="204"/>
      <c r="V84" s="204"/>
      <c r="Y84" s="157" t="s">
        <v>156</v>
      </c>
      <c r="Z84" s="157"/>
      <c r="AA84" s="157"/>
    </row>
    <row r="85" spans="3:27" x14ac:dyDescent="0.25">
      <c r="C85" s="24"/>
      <c r="D85" s="8">
        <v>2010</v>
      </c>
      <c r="E85" s="8">
        <v>2020</v>
      </c>
      <c r="I85" s="154" t="s">
        <v>9</v>
      </c>
      <c r="J85" s="153" t="s">
        <v>10</v>
      </c>
      <c r="T85" s="24"/>
      <c r="U85" s="8">
        <v>2010</v>
      </c>
      <c r="V85" s="8">
        <v>2020</v>
      </c>
      <c r="Y85" s="144"/>
      <c r="Z85" s="155" t="s">
        <v>9</v>
      </c>
      <c r="AA85" s="156" t="s">
        <v>10</v>
      </c>
    </row>
    <row r="86" spans="3:27" x14ac:dyDescent="0.25">
      <c r="C86" s="150" t="s">
        <v>120</v>
      </c>
      <c r="D86" s="152" t="s">
        <v>133</v>
      </c>
      <c r="E86" s="117" t="s">
        <v>133</v>
      </c>
      <c r="H86" s="24"/>
      <c r="I86" s="8">
        <v>2010</v>
      </c>
      <c r="J86" s="8">
        <v>2010</v>
      </c>
      <c r="T86" s="150" t="s">
        <v>120</v>
      </c>
      <c r="U86" s="152" t="s">
        <v>133</v>
      </c>
      <c r="V86" s="117" t="s">
        <v>133</v>
      </c>
      <c r="Y86" s="24"/>
      <c r="Z86" s="8">
        <v>2020</v>
      </c>
      <c r="AA86" s="8">
        <v>2020</v>
      </c>
    </row>
    <row r="87" spans="3:27" x14ac:dyDescent="0.25">
      <c r="C87" s="151">
        <v>0</v>
      </c>
      <c r="D87" s="151">
        <f>M6/J6</f>
        <v>82.677465171144519</v>
      </c>
      <c r="E87" s="6">
        <f>M47/J47</f>
        <v>68.695048669376121</v>
      </c>
      <c r="H87" s="152" t="s">
        <v>120</v>
      </c>
      <c r="I87" s="152" t="s">
        <v>133</v>
      </c>
      <c r="J87" s="152" t="s">
        <v>133</v>
      </c>
      <c r="T87" s="151">
        <v>0</v>
      </c>
      <c r="U87" s="151">
        <f>AB6/Y6</f>
        <v>86.48608809366614</v>
      </c>
      <c r="V87" s="6">
        <f>AB47/Y47</f>
        <v>76.516853905417392</v>
      </c>
      <c r="Y87" s="152" t="s">
        <v>120</v>
      </c>
      <c r="Z87" s="152" t="s">
        <v>133</v>
      </c>
      <c r="AA87" s="152" t="s">
        <v>133</v>
      </c>
    </row>
    <row r="88" spans="3:27" x14ac:dyDescent="0.25">
      <c r="C88" s="151">
        <v>1</v>
      </c>
      <c r="D88" s="151">
        <f t="shared" ref="D88:D105" si="33">M7/J7</f>
        <v>82.742911707088027</v>
      </c>
      <c r="E88" s="6">
        <f t="shared" ref="E88:E105" si="34">M48/J48</f>
        <v>68.199289690799816</v>
      </c>
      <c r="H88" s="151">
        <v>0</v>
      </c>
      <c r="I88" s="35">
        <f>M6/J6</f>
        <v>82.677465171144519</v>
      </c>
      <c r="J88" s="35">
        <f>AB6/Y6</f>
        <v>86.48608809366614</v>
      </c>
      <c r="T88" s="151">
        <v>1</v>
      </c>
      <c r="U88" s="151">
        <f t="shared" ref="U88:U105" si="35">AB7/Y7</f>
        <v>86.24743288464748</v>
      </c>
      <c r="V88" s="6">
        <f t="shared" ref="V88:V105" si="36">AB48/Y48</f>
        <v>76.096251222950656</v>
      </c>
      <c r="Y88" s="151">
        <v>0</v>
      </c>
      <c r="Z88" s="35">
        <f>M47/J47</f>
        <v>68.695048669376121</v>
      </c>
      <c r="AA88" s="35">
        <f>AB47/Y47</f>
        <v>76.516853905417392</v>
      </c>
    </row>
    <row r="89" spans="3:27" x14ac:dyDescent="0.25">
      <c r="C89" s="151">
        <v>5</v>
      </c>
      <c r="D89" s="151">
        <f t="shared" si="33"/>
        <v>78.833746406633807</v>
      </c>
      <c r="E89" s="6">
        <f t="shared" si="34"/>
        <v>64.234827596946431</v>
      </c>
      <c r="H89" s="151">
        <v>1</v>
      </c>
      <c r="I89" s="35">
        <f t="shared" ref="I89:I106" si="37">M7/J7</f>
        <v>82.742911707088027</v>
      </c>
      <c r="J89" s="35">
        <f t="shared" ref="J89:J106" si="38">AB7/Y7</f>
        <v>86.24743288464748</v>
      </c>
      <c r="T89" s="151">
        <v>5</v>
      </c>
      <c r="U89" s="151">
        <f t="shared" si="35"/>
        <v>82.266842819296983</v>
      </c>
      <c r="V89" s="6">
        <f t="shared" si="36"/>
        <v>72.116809890129232</v>
      </c>
      <c r="Y89" s="151">
        <v>1</v>
      </c>
      <c r="Z89" s="35">
        <f t="shared" ref="Z89:Z106" si="39">M48/J48</f>
        <v>68.199289690799816</v>
      </c>
      <c r="AA89" s="35">
        <f t="shared" ref="AA89:AA106" si="40">AB48/Y48</f>
        <v>76.096251222950656</v>
      </c>
    </row>
    <row r="90" spans="3:27" x14ac:dyDescent="0.25">
      <c r="C90" s="151">
        <v>10</v>
      </c>
      <c r="D90" s="151">
        <f t="shared" si="33"/>
        <v>73.883639558711479</v>
      </c>
      <c r="E90" s="6">
        <f t="shared" si="34"/>
        <v>59.314944062393337</v>
      </c>
      <c r="H90" s="151">
        <v>5</v>
      </c>
      <c r="I90" s="35">
        <f t="shared" si="37"/>
        <v>78.833746406633807</v>
      </c>
      <c r="J90" s="35">
        <f t="shared" si="38"/>
        <v>82.266842819296983</v>
      </c>
      <c r="T90" s="151">
        <v>10</v>
      </c>
      <c r="U90" s="151">
        <f t="shared" si="35"/>
        <v>77.302663904745771</v>
      </c>
      <c r="V90" s="6">
        <f t="shared" si="36"/>
        <v>67.135357163427145</v>
      </c>
      <c r="Y90" s="151">
        <v>5</v>
      </c>
      <c r="Z90" s="35">
        <f t="shared" si="39"/>
        <v>64.234827596946431</v>
      </c>
      <c r="AA90" s="35">
        <f t="shared" si="40"/>
        <v>72.116809890129232</v>
      </c>
    </row>
    <row r="91" spans="3:27" x14ac:dyDescent="0.25">
      <c r="C91" s="151">
        <v>15</v>
      </c>
      <c r="D91" s="151">
        <f t="shared" si="33"/>
        <v>68.899557143510663</v>
      </c>
      <c r="E91" s="6">
        <f t="shared" si="34"/>
        <v>54.35609580204612</v>
      </c>
      <c r="H91" s="151">
        <v>10</v>
      </c>
      <c r="I91" s="35">
        <f t="shared" si="37"/>
        <v>73.883639558711479</v>
      </c>
      <c r="J91" s="35">
        <f t="shared" si="38"/>
        <v>77.302663904745771</v>
      </c>
      <c r="T91" s="151">
        <v>15</v>
      </c>
      <c r="U91" s="151">
        <f t="shared" si="35"/>
        <v>72.370110628488717</v>
      </c>
      <c r="V91" s="6">
        <f t="shared" si="36"/>
        <v>62.233623795048935</v>
      </c>
      <c r="Y91" s="151">
        <v>10</v>
      </c>
      <c r="Z91" s="35">
        <f t="shared" si="39"/>
        <v>59.314944062393337</v>
      </c>
      <c r="AA91" s="35">
        <f t="shared" si="40"/>
        <v>67.135357163427145</v>
      </c>
    </row>
    <row r="92" spans="3:27" x14ac:dyDescent="0.25">
      <c r="C92" s="151">
        <v>20</v>
      </c>
      <c r="D92" s="151">
        <f t="shared" si="33"/>
        <v>64.087580385788186</v>
      </c>
      <c r="E92" s="6">
        <f t="shared" si="34"/>
        <v>49.670321472826899</v>
      </c>
      <c r="H92" s="151">
        <v>15</v>
      </c>
      <c r="I92" s="35">
        <f t="shared" si="37"/>
        <v>68.899557143510663</v>
      </c>
      <c r="J92" s="35">
        <f t="shared" si="38"/>
        <v>72.370110628488717</v>
      </c>
      <c r="T92" s="151">
        <v>20</v>
      </c>
      <c r="U92" s="151">
        <f t="shared" si="35"/>
        <v>67.415527294984869</v>
      </c>
      <c r="V92" s="6">
        <f t="shared" si="36"/>
        <v>57.277214879428001</v>
      </c>
      <c r="Y92" s="151">
        <v>15</v>
      </c>
      <c r="Z92" s="35">
        <f t="shared" si="39"/>
        <v>54.35609580204612</v>
      </c>
      <c r="AA92" s="35">
        <f t="shared" si="40"/>
        <v>62.233623795048935</v>
      </c>
    </row>
    <row r="93" spans="3:27" x14ac:dyDescent="0.25">
      <c r="C93" s="151">
        <v>25</v>
      </c>
      <c r="D93" s="151">
        <f t="shared" si="33"/>
        <v>59.321439577403162</v>
      </c>
      <c r="E93" s="6">
        <f t="shared" si="34"/>
        <v>45.164701161009582</v>
      </c>
      <c r="H93" s="151">
        <v>20</v>
      </c>
      <c r="I93" s="35">
        <f t="shared" si="37"/>
        <v>64.087580385788186</v>
      </c>
      <c r="J93" s="35">
        <f t="shared" si="38"/>
        <v>67.415527294984869</v>
      </c>
      <c r="T93" s="151">
        <v>25</v>
      </c>
      <c r="U93" s="151">
        <f t="shared" si="35"/>
        <v>62.557441172809874</v>
      </c>
      <c r="V93" s="6">
        <f t="shared" si="36"/>
        <v>52.446030322737315</v>
      </c>
      <c r="Y93" s="151">
        <v>20</v>
      </c>
      <c r="Z93" s="35">
        <f t="shared" si="39"/>
        <v>49.670321472826899</v>
      </c>
      <c r="AA93" s="35">
        <f t="shared" si="40"/>
        <v>57.277214879428001</v>
      </c>
    </row>
    <row r="94" spans="3:27" x14ac:dyDescent="0.25">
      <c r="C94" s="151">
        <v>30</v>
      </c>
      <c r="D94" s="151">
        <f t="shared" si="33"/>
        <v>54.639498860543689</v>
      </c>
      <c r="E94" s="6">
        <f t="shared" si="34"/>
        <v>40.739955010487066</v>
      </c>
      <c r="H94" s="151">
        <v>25</v>
      </c>
      <c r="I94" s="35">
        <f t="shared" si="37"/>
        <v>59.321439577403162</v>
      </c>
      <c r="J94" s="35">
        <f t="shared" si="38"/>
        <v>62.557441172809874</v>
      </c>
      <c r="T94" s="151">
        <v>30</v>
      </c>
      <c r="U94" s="151">
        <f t="shared" si="35"/>
        <v>57.643052003956818</v>
      </c>
      <c r="V94" s="6">
        <f t="shared" si="36"/>
        <v>47.540145588395582</v>
      </c>
      <c r="Y94" s="151">
        <v>25</v>
      </c>
      <c r="Z94" s="35">
        <f t="shared" si="39"/>
        <v>45.164701161009582</v>
      </c>
      <c r="AA94" s="35">
        <f t="shared" si="40"/>
        <v>52.446030322737315</v>
      </c>
    </row>
    <row r="95" spans="3:27" x14ac:dyDescent="0.25">
      <c r="C95" s="151">
        <v>35</v>
      </c>
      <c r="D95" s="151">
        <f t="shared" si="33"/>
        <v>49.903258732151514</v>
      </c>
      <c r="E95" s="6">
        <f t="shared" si="34"/>
        <v>36.390424076715242</v>
      </c>
      <c r="H95" s="151">
        <v>30</v>
      </c>
      <c r="I95" s="35">
        <f t="shared" si="37"/>
        <v>54.639498860543689</v>
      </c>
      <c r="J95" s="35">
        <f t="shared" si="38"/>
        <v>57.643052003956818</v>
      </c>
      <c r="T95" s="151">
        <v>35</v>
      </c>
      <c r="U95" s="151">
        <f t="shared" si="35"/>
        <v>52.697704732089427</v>
      </c>
      <c r="V95" s="6">
        <f t="shared" si="36"/>
        <v>42.726079431841306</v>
      </c>
      <c r="Y95" s="151">
        <v>30</v>
      </c>
      <c r="Z95" s="35">
        <f t="shared" si="39"/>
        <v>40.739955010487066</v>
      </c>
      <c r="AA95" s="35">
        <f t="shared" si="40"/>
        <v>47.540145588395582</v>
      </c>
    </row>
    <row r="96" spans="3:27" x14ac:dyDescent="0.25">
      <c r="C96" s="151">
        <v>40</v>
      </c>
      <c r="D96" s="151">
        <f t="shared" si="33"/>
        <v>45.214118043244355</v>
      </c>
      <c r="E96" s="6">
        <f t="shared" si="34"/>
        <v>32.175083822352626</v>
      </c>
      <c r="H96" s="151">
        <v>35</v>
      </c>
      <c r="I96" s="35">
        <f t="shared" si="37"/>
        <v>49.903258732151514</v>
      </c>
      <c r="J96" s="35">
        <f t="shared" si="38"/>
        <v>52.697704732089427</v>
      </c>
      <c r="T96" s="151">
        <v>40</v>
      </c>
      <c r="U96" s="151">
        <f t="shared" si="35"/>
        <v>47.759488281680113</v>
      </c>
      <c r="V96" s="6">
        <f t="shared" si="36"/>
        <v>37.952396756506495</v>
      </c>
      <c r="Y96" s="151">
        <v>35</v>
      </c>
      <c r="Z96" s="35">
        <f t="shared" si="39"/>
        <v>36.390424076715242</v>
      </c>
      <c r="AA96" s="35">
        <f t="shared" si="40"/>
        <v>42.726079431841306</v>
      </c>
    </row>
    <row r="97" spans="3:27" x14ac:dyDescent="0.25">
      <c r="C97" s="151">
        <v>45</v>
      </c>
      <c r="D97" s="151">
        <f t="shared" si="33"/>
        <v>40.447191375656857</v>
      </c>
      <c r="E97" s="6">
        <f t="shared" si="34"/>
        <v>28.107161008140917</v>
      </c>
      <c r="H97" s="151">
        <v>40</v>
      </c>
      <c r="I97" s="35">
        <f t="shared" si="37"/>
        <v>45.214118043244355</v>
      </c>
      <c r="J97" s="35">
        <f t="shared" si="38"/>
        <v>47.759488281680113</v>
      </c>
      <c r="T97" s="151">
        <v>45</v>
      </c>
      <c r="U97" s="151">
        <f t="shared" si="35"/>
        <v>42.903424582255873</v>
      </c>
      <c r="V97" s="6">
        <f t="shared" si="36"/>
        <v>33.327126302737327</v>
      </c>
      <c r="Y97" s="151">
        <v>40</v>
      </c>
      <c r="Z97" s="35">
        <f t="shared" si="39"/>
        <v>32.175083822352626</v>
      </c>
      <c r="AA97" s="35">
        <f t="shared" si="40"/>
        <v>37.952396756506495</v>
      </c>
    </row>
    <row r="98" spans="3:27" x14ac:dyDescent="0.25">
      <c r="C98" s="151">
        <v>50</v>
      </c>
      <c r="D98" s="151">
        <f t="shared" si="33"/>
        <v>35.871078135193784</v>
      </c>
      <c r="E98" s="6">
        <f t="shared" si="34"/>
        <v>24.147478292180452</v>
      </c>
      <c r="H98" s="151">
        <v>45</v>
      </c>
      <c r="I98" s="35">
        <f t="shared" si="37"/>
        <v>40.447191375656857</v>
      </c>
      <c r="J98" s="35">
        <f t="shared" si="38"/>
        <v>42.903424582255873</v>
      </c>
      <c r="T98" s="151">
        <v>50</v>
      </c>
      <c r="U98" s="151">
        <f t="shared" si="35"/>
        <v>38.027899329790834</v>
      </c>
      <c r="V98" s="6">
        <f t="shared" si="36"/>
        <v>28.82054304397262</v>
      </c>
      <c r="Y98" s="151">
        <v>45</v>
      </c>
      <c r="Z98" s="35">
        <f t="shared" si="39"/>
        <v>28.107161008140917</v>
      </c>
      <c r="AA98" s="35">
        <f t="shared" si="40"/>
        <v>33.327126302737327</v>
      </c>
    </row>
    <row r="99" spans="3:27" x14ac:dyDescent="0.25">
      <c r="C99" s="151">
        <v>55</v>
      </c>
      <c r="D99" s="151">
        <f t="shared" si="33"/>
        <v>31.251212481683083</v>
      </c>
      <c r="E99" s="6">
        <f t="shared" si="34"/>
        <v>20.27307831097048</v>
      </c>
      <c r="H99" s="151">
        <v>50</v>
      </c>
      <c r="I99" s="35">
        <f t="shared" si="37"/>
        <v>35.871078135193784</v>
      </c>
      <c r="J99" s="35">
        <f t="shared" si="38"/>
        <v>38.027899329790834</v>
      </c>
      <c r="T99" s="151">
        <v>55</v>
      </c>
      <c r="U99" s="151">
        <f t="shared" si="35"/>
        <v>33.256145428498201</v>
      </c>
      <c r="V99" s="6">
        <f t="shared" si="36"/>
        <v>24.499177974840006</v>
      </c>
      <c r="Y99" s="151">
        <v>50</v>
      </c>
      <c r="Z99" s="35">
        <f t="shared" si="39"/>
        <v>24.147478292180452</v>
      </c>
      <c r="AA99" s="35">
        <f t="shared" si="40"/>
        <v>28.82054304397262</v>
      </c>
    </row>
    <row r="100" spans="3:27" x14ac:dyDescent="0.25">
      <c r="C100" s="151">
        <v>60</v>
      </c>
      <c r="D100" s="151">
        <f t="shared" si="33"/>
        <v>26.720785790003227</v>
      </c>
      <c r="E100" s="6">
        <f t="shared" si="34"/>
        <v>17.000887862341941</v>
      </c>
      <c r="H100" s="151">
        <v>55</v>
      </c>
      <c r="I100" s="35">
        <f t="shared" si="37"/>
        <v>31.251212481683083</v>
      </c>
      <c r="J100" s="35">
        <f t="shared" si="38"/>
        <v>33.256145428498201</v>
      </c>
      <c r="T100" s="151">
        <v>60</v>
      </c>
      <c r="U100" s="151">
        <f t="shared" si="35"/>
        <v>28.611157703730932</v>
      </c>
      <c r="V100" s="6">
        <f t="shared" si="36"/>
        <v>20.527601982797197</v>
      </c>
      <c r="Y100" s="151">
        <v>55</v>
      </c>
      <c r="Z100" s="35">
        <f t="shared" si="39"/>
        <v>20.27307831097048</v>
      </c>
      <c r="AA100" s="35">
        <f t="shared" si="40"/>
        <v>24.499177974840006</v>
      </c>
    </row>
    <row r="101" spans="3:27" x14ac:dyDescent="0.25">
      <c r="C101" s="151">
        <v>65</v>
      </c>
      <c r="D101" s="151">
        <f t="shared" si="33"/>
        <v>22.437836704543102</v>
      </c>
      <c r="E101" s="6">
        <f t="shared" si="34"/>
        <v>13.882524568485428</v>
      </c>
      <c r="H101" s="151">
        <v>60</v>
      </c>
      <c r="I101" s="35">
        <f t="shared" si="37"/>
        <v>26.720785790003227</v>
      </c>
      <c r="J101" s="35">
        <f t="shared" si="38"/>
        <v>28.611157703730932</v>
      </c>
      <c r="T101" s="151">
        <v>65</v>
      </c>
      <c r="U101" s="151">
        <f t="shared" si="35"/>
        <v>24.076098399071245</v>
      </c>
      <c r="V101" s="6">
        <f t="shared" si="36"/>
        <v>16.881477769848455</v>
      </c>
      <c r="Y101" s="151">
        <v>60</v>
      </c>
      <c r="Z101" s="35">
        <f t="shared" si="39"/>
        <v>17.000887862341941</v>
      </c>
      <c r="AA101" s="35">
        <f t="shared" si="40"/>
        <v>20.527601982797197</v>
      </c>
    </row>
    <row r="102" spans="3:27" x14ac:dyDescent="0.25">
      <c r="C102" s="151">
        <v>70</v>
      </c>
      <c r="D102" s="151">
        <f t="shared" si="33"/>
        <v>18.397799272960455</v>
      </c>
      <c r="E102" s="6">
        <f t="shared" si="34"/>
        <v>11.140859661455803</v>
      </c>
      <c r="H102" s="151">
        <v>65</v>
      </c>
      <c r="I102" s="35">
        <f t="shared" si="37"/>
        <v>22.437836704543102</v>
      </c>
      <c r="J102" s="35">
        <f t="shared" si="38"/>
        <v>24.076098399071245</v>
      </c>
      <c r="T102" s="151">
        <v>70</v>
      </c>
      <c r="U102" s="151">
        <f t="shared" si="35"/>
        <v>19.885037222478026</v>
      </c>
      <c r="V102" s="6">
        <f t="shared" si="36"/>
        <v>13.44565357025548</v>
      </c>
      <c r="Y102" s="151">
        <v>65</v>
      </c>
      <c r="Z102" s="35">
        <f t="shared" si="39"/>
        <v>13.882524568485428</v>
      </c>
      <c r="AA102" s="35">
        <f t="shared" si="40"/>
        <v>16.881477769848455</v>
      </c>
    </row>
    <row r="103" spans="3:27" x14ac:dyDescent="0.25">
      <c r="C103" s="151">
        <v>75</v>
      </c>
      <c r="D103" s="151">
        <f t="shared" si="33"/>
        <v>14.774880628931927</v>
      </c>
      <c r="E103" s="6">
        <f t="shared" si="34"/>
        <v>8.9178101206030398</v>
      </c>
      <c r="H103" s="151">
        <v>70</v>
      </c>
      <c r="I103" s="35">
        <f t="shared" si="37"/>
        <v>18.397799272960455</v>
      </c>
      <c r="J103" s="35">
        <f t="shared" si="38"/>
        <v>19.885037222478026</v>
      </c>
      <c r="T103" s="151">
        <v>75</v>
      </c>
      <c r="U103" s="151">
        <f t="shared" si="35"/>
        <v>16.087022915753639</v>
      </c>
      <c r="V103" s="6">
        <f t="shared" si="36"/>
        <v>10.560864356445151</v>
      </c>
      <c r="Y103" s="151">
        <v>70</v>
      </c>
      <c r="Z103" s="35">
        <f t="shared" si="39"/>
        <v>11.140859661455803</v>
      </c>
      <c r="AA103" s="35">
        <f t="shared" si="40"/>
        <v>13.44565357025548</v>
      </c>
    </row>
    <row r="104" spans="3:27" x14ac:dyDescent="0.25">
      <c r="C104" s="151">
        <v>80</v>
      </c>
      <c r="D104" s="151">
        <f t="shared" si="33"/>
        <v>11.784121842915665</v>
      </c>
      <c r="E104" s="6">
        <f t="shared" si="34"/>
        <v>6.8549692730988516</v>
      </c>
      <c r="H104" s="151">
        <v>75</v>
      </c>
      <c r="I104" s="35">
        <f t="shared" si="37"/>
        <v>14.774880628931927</v>
      </c>
      <c r="J104" s="35">
        <f t="shared" si="38"/>
        <v>16.087022915753639</v>
      </c>
      <c r="T104" s="151">
        <v>80</v>
      </c>
      <c r="U104" s="151">
        <f t="shared" si="35"/>
        <v>13.399905860269309</v>
      </c>
      <c r="V104" s="6">
        <f t="shared" si="36"/>
        <v>8.2981069548647923</v>
      </c>
      <c r="Y104" s="151">
        <v>75</v>
      </c>
      <c r="Z104" s="35">
        <f t="shared" si="39"/>
        <v>8.9178101206030398</v>
      </c>
      <c r="AA104" s="35">
        <f t="shared" si="40"/>
        <v>10.560864356445151</v>
      </c>
    </row>
    <row r="105" spans="3:27" x14ac:dyDescent="0.25">
      <c r="C105" s="151">
        <v>85</v>
      </c>
      <c r="D105" s="151">
        <f t="shared" si="33"/>
        <v>8.5480445137603507</v>
      </c>
      <c r="E105" s="6">
        <f t="shared" si="34"/>
        <v>4.8161784479618319</v>
      </c>
      <c r="H105" s="151">
        <v>80</v>
      </c>
      <c r="I105" s="35">
        <f t="shared" si="37"/>
        <v>11.784121842915665</v>
      </c>
      <c r="J105" s="35">
        <f t="shared" si="38"/>
        <v>13.399905860269309</v>
      </c>
      <c r="T105" s="151">
        <v>85</v>
      </c>
      <c r="U105" s="151">
        <f t="shared" si="35"/>
        <v>10.716636660570938</v>
      </c>
      <c r="V105" s="6">
        <f t="shared" si="36"/>
        <v>6.3929056614895838</v>
      </c>
      <c r="Y105" s="151">
        <v>80</v>
      </c>
      <c r="Z105" s="35">
        <f t="shared" si="39"/>
        <v>6.8549692730988516</v>
      </c>
      <c r="AA105" s="35">
        <f t="shared" si="40"/>
        <v>8.2981069548647923</v>
      </c>
    </row>
    <row r="106" spans="3:27" x14ac:dyDescent="0.25">
      <c r="H106" s="151">
        <v>85</v>
      </c>
      <c r="I106" s="35">
        <f t="shared" si="37"/>
        <v>8.5480445137603507</v>
      </c>
      <c r="J106" s="35">
        <f t="shared" si="38"/>
        <v>10.716636660570938</v>
      </c>
      <c r="Y106" s="151">
        <v>85</v>
      </c>
      <c r="Z106" s="35">
        <f t="shared" si="39"/>
        <v>4.8161784479618319</v>
      </c>
      <c r="AA106" s="35">
        <f t="shared" si="40"/>
        <v>6.3929056614895838</v>
      </c>
    </row>
  </sheetData>
  <mergeCells count="14">
    <mergeCell ref="B1:E1"/>
    <mergeCell ref="A3:N3"/>
    <mergeCell ref="P3:AC3"/>
    <mergeCell ref="H4:N4"/>
    <mergeCell ref="A4:D4"/>
    <mergeCell ref="C84:E84"/>
    <mergeCell ref="AE3:AH3"/>
    <mergeCell ref="AE4:AF4"/>
    <mergeCell ref="AG4:AH4"/>
    <mergeCell ref="T84:V84"/>
    <mergeCell ref="H84:J84"/>
    <mergeCell ref="Y84:AA84"/>
    <mergeCell ref="A44:N44"/>
    <mergeCell ref="P44:AC4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F3" sqref="F3"/>
    </sheetView>
  </sheetViews>
  <sheetFormatPr baseColWidth="10" defaultRowHeight="15" x14ac:dyDescent="0.25"/>
  <cols>
    <col min="2" max="2" width="13" customWidth="1"/>
    <col min="3" max="3" width="10" customWidth="1"/>
    <col min="4" max="4" width="9.140625" customWidth="1"/>
    <col min="5" max="5" width="10.7109375" customWidth="1"/>
    <col min="6" max="6" width="14.7109375" bestFit="1" customWidth="1"/>
    <col min="8" max="8" width="13.5703125" customWidth="1"/>
    <col min="9" max="9" width="9.5703125" customWidth="1"/>
    <col min="10" max="10" width="8.28515625" customWidth="1"/>
    <col min="11" max="11" width="7" customWidth="1"/>
    <col min="12" max="12" width="13.42578125" customWidth="1"/>
  </cols>
  <sheetData>
    <row r="1" spans="1:12" ht="16.5" customHeight="1" thickBot="1" x14ac:dyDescent="0.3">
      <c r="A1" s="223" t="s">
        <v>137</v>
      </c>
      <c r="B1" s="224"/>
      <c r="C1" s="224"/>
      <c r="D1" s="224"/>
      <c r="E1" s="224"/>
    </row>
    <row r="4" spans="1:12" ht="15.75" x14ac:dyDescent="0.25">
      <c r="B4" s="225">
        <v>2010</v>
      </c>
      <c r="C4" s="225"/>
      <c r="D4" s="225"/>
      <c r="E4" s="225"/>
      <c r="F4" s="225"/>
      <c r="H4" s="225">
        <v>2020</v>
      </c>
      <c r="I4" s="225"/>
      <c r="J4" s="225"/>
      <c r="K4" s="225"/>
      <c r="L4" s="225"/>
    </row>
    <row r="5" spans="1:12" x14ac:dyDescent="0.25">
      <c r="A5" s="103"/>
      <c r="B5" s="104" t="s">
        <v>110</v>
      </c>
      <c r="F5" s="13" t="s">
        <v>116</v>
      </c>
      <c r="H5" s="104" t="s">
        <v>110</v>
      </c>
      <c r="L5" s="13" t="s">
        <v>116</v>
      </c>
    </row>
    <row r="6" spans="1:12" x14ac:dyDescent="0.25">
      <c r="B6" s="16" t="s">
        <v>138</v>
      </c>
      <c r="C6" s="107" t="s">
        <v>121</v>
      </c>
      <c r="D6" s="107" t="s">
        <v>139</v>
      </c>
      <c r="E6" s="107" t="s">
        <v>121</v>
      </c>
      <c r="F6" s="16" t="s">
        <v>138</v>
      </c>
      <c r="H6" s="16" t="s">
        <v>138</v>
      </c>
      <c r="I6" s="107" t="s">
        <v>121</v>
      </c>
      <c r="J6" s="107" t="s">
        <v>139</v>
      </c>
      <c r="K6" s="107" t="s">
        <v>121</v>
      </c>
      <c r="L6" s="16" t="s">
        <v>138</v>
      </c>
    </row>
    <row r="7" spans="1:12" x14ac:dyDescent="0.25">
      <c r="B7" s="105">
        <f>('Tablas de Vida'!L6+'Tablas de Vida'!L7)/(5*'Tablas de Vida'!J6)</f>
        <v>0.98803694238285422</v>
      </c>
      <c r="C7" s="107">
        <v>5</v>
      </c>
      <c r="D7" s="107">
        <v>0</v>
      </c>
      <c r="E7" s="107">
        <v>5</v>
      </c>
      <c r="F7" s="105">
        <f>('Tablas de Vida'!AA6+'Tablas de Vida'!AA7)/(5*'Tablas de Vida'!Y6)</f>
        <v>0.99200976136880692</v>
      </c>
      <c r="H7" s="105">
        <f>('Tablas de Vida'!L47+'Tablas de Vida'!L48)/(5*'Tablas de Vida'!J47)</f>
        <v>0.9931811117426248</v>
      </c>
      <c r="I7" s="107">
        <v>5</v>
      </c>
      <c r="J7" s="107">
        <v>0</v>
      </c>
      <c r="K7" s="107">
        <v>5</v>
      </c>
      <c r="L7" s="105">
        <f>('Tablas de Vida'!AA47+'Tablas de Vida'!AA48)/(5*'Tablas de Vida'!Y47)</f>
        <v>0.99308201303097265</v>
      </c>
    </row>
    <row r="8" spans="1:12" x14ac:dyDescent="0.25">
      <c r="B8" s="105">
        <f>'Tablas de Vida'!L9/'Tablas de Vida'!L8</f>
        <v>0.99956186554305537</v>
      </c>
      <c r="C8" s="107">
        <v>5</v>
      </c>
      <c r="D8" s="107">
        <v>5</v>
      </c>
      <c r="E8" s="107">
        <v>5</v>
      </c>
      <c r="F8" s="36">
        <f>'Tablas de Vida'!AA9/'Tablas de Vida'!AA8</f>
        <v>0.99932519043526447</v>
      </c>
      <c r="H8" s="105">
        <f>'Tablas de Vida'!L50/'Tablas de Vida'!L49</f>
        <v>0.99898988586367043</v>
      </c>
      <c r="I8" s="107">
        <v>5</v>
      </c>
      <c r="J8" s="107">
        <v>5</v>
      </c>
      <c r="K8" s="107">
        <v>5</v>
      </c>
      <c r="L8" s="105">
        <f>'Tablas de Vida'!AA50/'Tablas de Vida'!AA49</f>
        <v>0.99910790145120065</v>
      </c>
    </row>
    <row r="9" spans="1:12" x14ac:dyDescent="0.25">
      <c r="B9" s="105">
        <f>'Tablas de Vida'!L10/'Tablas de Vida'!L9</f>
        <v>0.99847682740984556</v>
      </c>
      <c r="C9" s="107">
        <v>5</v>
      </c>
      <c r="D9" s="107">
        <v>10</v>
      </c>
      <c r="E9" s="107">
        <v>5</v>
      </c>
      <c r="F9" s="36">
        <f>'Tablas de Vida'!AA10/'Tablas de Vida'!AA9</f>
        <v>0.99922472178132615</v>
      </c>
      <c r="H9" s="105">
        <f>'Tablas de Vida'!L51/'Tablas de Vida'!L50</f>
        <v>0.99662752875983251</v>
      </c>
      <c r="I9" s="107">
        <v>5</v>
      </c>
      <c r="J9" s="107">
        <v>10</v>
      </c>
      <c r="K9" s="107">
        <v>5</v>
      </c>
      <c r="L9" s="105">
        <f>'Tablas de Vida'!AA51/'Tablas de Vida'!AA50</f>
        <v>0.99887607989661553</v>
      </c>
    </row>
    <row r="10" spans="1:12" x14ac:dyDescent="0.25">
      <c r="B10" s="105">
        <f>'Tablas de Vida'!L11/'Tablas de Vida'!L10</f>
        <v>0.99669742034503128</v>
      </c>
      <c r="C10" s="107">
        <v>5</v>
      </c>
      <c r="D10" s="107">
        <v>15</v>
      </c>
      <c r="E10" s="107">
        <v>5</v>
      </c>
      <c r="F10" s="36">
        <f>'Tablas de Vida'!AA11/'Tablas de Vida'!AA10</f>
        <v>0.99858477075994623</v>
      </c>
      <c r="H10" s="105">
        <f>'Tablas de Vida'!L52/'Tablas de Vida'!L51</f>
        <v>0.9918090168796404</v>
      </c>
      <c r="I10" s="107">
        <v>5</v>
      </c>
      <c r="J10" s="107">
        <v>15</v>
      </c>
      <c r="K10" s="107">
        <v>5</v>
      </c>
      <c r="L10" s="105">
        <f>'Tablas de Vida'!AA52/'Tablas de Vida'!AA51</f>
        <v>0.99809962119008311</v>
      </c>
    </row>
    <row r="11" spans="1:12" x14ac:dyDescent="0.25">
      <c r="B11" s="105">
        <f>'Tablas de Vida'!L12/'Tablas de Vida'!L11</f>
        <v>0.99532709911785611</v>
      </c>
      <c r="C11" s="107">
        <v>5</v>
      </c>
      <c r="D11" s="107">
        <v>20</v>
      </c>
      <c r="E11" s="107">
        <v>5</v>
      </c>
      <c r="F11" s="36">
        <f>'Tablas de Vida'!AA12/'Tablas de Vida'!AA11</f>
        <v>0.9981971781682224</v>
      </c>
      <c r="H11" s="105">
        <f>'Tablas de Vida'!L53/'Tablas de Vida'!L52</f>
        <v>0.98816974840715621</v>
      </c>
      <c r="I11" s="107">
        <v>5</v>
      </c>
      <c r="J11" s="107">
        <v>20</v>
      </c>
      <c r="K11" s="107">
        <v>5</v>
      </c>
      <c r="L11" s="105">
        <f>'Tablas de Vida'!AA53/'Tablas de Vida'!AA52</f>
        <v>0.99752249247045122</v>
      </c>
    </row>
    <row r="12" spans="1:12" x14ac:dyDescent="0.25">
      <c r="B12" s="105">
        <f>'Tablas de Vida'!L13/'Tablas de Vida'!L12</f>
        <v>0.99469943762856516</v>
      </c>
      <c r="C12" s="107">
        <v>5</v>
      </c>
      <c r="D12" s="107">
        <v>25</v>
      </c>
      <c r="E12" s="107">
        <v>5</v>
      </c>
      <c r="F12" s="36">
        <f>'Tablas de Vida'!AA13/'Tablas de Vida'!AA12</f>
        <v>0.99879305557857823</v>
      </c>
      <c r="H12" s="105">
        <f>'Tablas de Vida'!L54/'Tablas de Vida'!L53</f>
        <v>0.98499673532408971</v>
      </c>
      <c r="I12" s="107">
        <v>5</v>
      </c>
      <c r="J12" s="107">
        <v>25</v>
      </c>
      <c r="K12" s="107">
        <v>5</v>
      </c>
      <c r="L12" s="105">
        <f>'Tablas de Vida'!AA54/'Tablas de Vida'!AA53</f>
        <v>0.99700504786057342</v>
      </c>
    </row>
    <row r="13" spans="1:12" x14ac:dyDescent="0.25">
      <c r="B13" s="105">
        <f>'Tablas de Vida'!L14/'Tablas de Vida'!L13</f>
        <v>0.99422771387957565</v>
      </c>
      <c r="C13" s="107">
        <v>5</v>
      </c>
      <c r="D13" s="107">
        <v>30</v>
      </c>
      <c r="E13" s="107">
        <v>5</v>
      </c>
      <c r="F13" s="36">
        <f>'Tablas de Vida'!AA14/'Tablas de Vida'!AA13</f>
        <v>0.99889035018846839</v>
      </c>
      <c r="H13" s="105">
        <f>'Tablas de Vida'!L55/'Tablas de Vida'!L54</f>
        <v>0.98034758781626719</v>
      </c>
      <c r="I13" s="107">
        <v>5</v>
      </c>
      <c r="J13" s="107">
        <v>30</v>
      </c>
      <c r="K13" s="107">
        <v>5</v>
      </c>
      <c r="L13" s="105">
        <f>'Tablas de Vida'!AA55/'Tablas de Vida'!AA54</f>
        <v>0.99514859457494764</v>
      </c>
    </row>
    <row r="14" spans="1:12" x14ac:dyDescent="0.25">
      <c r="B14" s="105">
        <f>'Tablas de Vida'!L15/'Tablas de Vida'!L14</f>
        <v>0.99402721533381977</v>
      </c>
      <c r="C14" s="107">
        <v>5</v>
      </c>
      <c r="D14" s="107">
        <v>35</v>
      </c>
      <c r="E14" s="107">
        <v>5</v>
      </c>
      <c r="F14" s="36">
        <f>'Tablas de Vida'!AA15/'Tablas de Vida'!AA14</f>
        <v>0.99780086922881206</v>
      </c>
      <c r="H14" s="105">
        <f>'Tablas de Vida'!L56/'Tablas de Vida'!L55</f>
        <v>0.97350385187927824</v>
      </c>
      <c r="I14" s="107">
        <v>5</v>
      </c>
      <c r="J14" s="107">
        <v>35</v>
      </c>
      <c r="K14" s="107">
        <v>5</v>
      </c>
      <c r="L14" s="105">
        <f>'Tablas de Vida'!AA56/'Tablas de Vida'!AA55</f>
        <v>0.99197980395706165</v>
      </c>
    </row>
    <row r="15" spans="1:12" x14ac:dyDescent="0.25">
      <c r="B15" s="105">
        <f>'Tablas de Vida'!L16/'Tablas de Vida'!L15</f>
        <v>0.99177063923286113</v>
      </c>
      <c r="C15" s="107">
        <v>5</v>
      </c>
      <c r="D15" s="107">
        <v>40</v>
      </c>
      <c r="E15" s="107">
        <v>5</v>
      </c>
      <c r="F15" s="36">
        <f>'Tablas de Vida'!AA16/'Tablas de Vida'!AA15</f>
        <v>0.99687917216671562</v>
      </c>
      <c r="H15" s="105">
        <f>'Tablas de Vida'!L57/'Tablas de Vida'!L56</f>
        <v>0.96531993516333814</v>
      </c>
      <c r="I15" s="107">
        <v>5</v>
      </c>
      <c r="J15" s="107">
        <v>40</v>
      </c>
      <c r="K15" s="107">
        <v>5</v>
      </c>
      <c r="L15" s="105">
        <f>'Tablas de Vida'!AA57/'Tablas de Vida'!AA56</f>
        <v>0.986907339794595</v>
      </c>
    </row>
    <row r="16" spans="1:12" x14ac:dyDescent="0.25">
      <c r="B16" s="105">
        <f>'Tablas de Vida'!L17/'Tablas de Vida'!L16</f>
        <v>0.98884566263648732</v>
      </c>
      <c r="C16" s="107">
        <v>5</v>
      </c>
      <c r="D16" s="107">
        <v>45</v>
      </c>
      <c r="E16" s="107">
        <v>5</v>
      </c>
      <c r="F16" s="36">
        <f>'Tablas de Vida'!AA17/'Tablas de Vida'!AA16</f>
        <v>0.99527517515966835</v>
      </c>
      <c r="H16" s="105">
        <f>'Tablas de Vida'!L58/'Tablas de Vida'!L57</f>
        <v>0.95587000644283415</v>
      </c>
      <c r="I16" s="107">
        <v>5</v>
      </c>
      <c r="J16" s="107">
        <v>45</v>
      </c>
      <c r="K16" s="107">
        <v>5</v>
      </c>
      <c r="L16" s="105">
        <f>'Tablas de Vida'!AA58/'Tablas de Vida'!AA57</f>
        <v>0.97959265941171136</v>
      </c>
    </row>
    <row r="17" spans="2:12" x14ac:dyDescent="0.25">
      <c r="B17" s="105">
        <f>'Tablas de Vida'!L18/'Tablas de Vida'!L17</f>
        <v>0.98634727489067342</v>
      </c>
      <c r="C17" s="107">
        <v>5</v>
      </c>
      <c r="D17" s="107">
        <v>50</v>
      </c>
      <c r="E17" s="107">
        <v>5</v>
      </c>
      <c r="F17" s="36">
        <f>'Tablas de Vida'!AA18/'Tablas de Vida'!AA17</f>
        <v>0.99111079877619301</v>
      </c>
      <c r="H17" s="105">
        <f>'Tablas de Vida'!L59/'Tablas de Vida'!L58</f>
        <v>0.93148215342402751</v>
      </c>
      <c r="I17" s="107">
        <v>5</v>
      </c>
      <c r="J17" s="107">
        <v>50</v>
      </c>
      <c r="K17" s="107">
        <v>5</v>
      </c>
      <c r="L17" s="105">
        <f>'Tablas de Vida'!AA59/'Tablas de Vida'!AA58</f>
        <v>0.96522631274933868</v>
      </c>
    </row>
    <row r="18" spans="2:12" x14ac:dyDescent="0.25">
      <c r="B18" s="105">
        <f>'Tablas de Vida'!L19/'Tablas de Vida'!L18</f>
        <v>0.97763968315130534</v>
      </c>
      <c r="C18" s="107">
        <v>5</v>
      </c>
      <c r="D18" s="107">
        <v>55</v>
      </c>
      <c r="E18" s="107">
        <v>5</v>
      </c>
      <c r="F18" s="36">
        <f>'Tablas de Vida'!AA19/'Tablas de Vida'!AA18</f>
        <v>0.98556456210530341</v>
      </c>
      <c r="H18" s="105">
        <f>'Tablas de Vida'!L60/'Tablas de Vida'!L59</f>
        <v>0.89887955189827873</v>
      </c>
      <c r="I18" s="107">
        <v>5</v>
      </c>
      <c r="J18" s="107">
        <v>55</v>
      </c>
      <c r="K18" s="107">
        <v>5</v>
      </c>
      <c r="L18" s="105">
        <f>'Tablas de Vida'!AA60/'Tablas de Vida'!AA59</f>
        <v>0.94303041650055075</v>
      </c>
    </row>
    <row r="19" spans="2:12" x14ac:dyDescent="0.25">
      <c r="B19" s="105">
        <f>'Tablas de Vida'!L20/'Tablas de Vida'!L19</f>
        <v>0.96278051948419263</v>
      </c>
      <c r="C19" s="107">
        <v>5</v>
      </c>
      <c r="D19" s="107">
        <v>60</v>
      </c>
      <c r="E19" s="107">
        <v>5</v>
      </c>
      <c r="F19" s="36">
        <f>'Tablas de Vida'!AA20/'Tablas de Vida'!AA19</f>
        <v>0.9732661705052521</v>
      </c>
      <c r="H19" s="105">
        <f>'Tablas de Vida'!L61/'Tablas de Vida'!L60</f>
        <v>0.86133801759751538</v>
      </c>
      <c r="I19" s="107">
        <v>5</v>
      </c>
      <c r="J19" s="107">
        <v>60</v>
      </c>
      <c r="K19" s="107">
        <v>5</v>
      </c>
      <c r="L19" s="105">
        <f>'Tablas de Vida'!AA61/'Tablas de Vida'!AA60</f>
        <v>0.91653687743776446</v>
      </c>
    </row>
    <row r="20" spans="2:12" x14ac:dyDescent="0.25">
      <c r="B20" s="105">
        <f>'Tablas de Vida'!L21/'Tablas de Vida'!L20</f>
        <v>0.93757110418197076</v>
      </c>
      <c r="C20" s="107">
        <v>5</v>
      </c>
      <c r="D20" s="107">
        <v>65</v>
      </c>
      <c r="E20" s="107">
        <v>5</v>
      </c>
      <c r="F20" s="36">
        <f>'Tablas de Vida'!AA21/'Tablas de Vida'!AA20</f>
        <v>0.94985975602749517</v>
      </c>
      <c r="H20" s="105">
        <f>'Tablas de Vida'!L62/'Tablas de Vida'!L61</f>
        <v>0.79911975015169501</v>
      </c>
      <c r="I20" s="107">
        <v>5</v>
      </c>
      <c r="J20" s="107">
        <v>65</v>
      </c>
      <c r="K20" s="107">
        <v>5</v>
      </c>
      <c r="L20" s="105">
        <f>'Tablas de Vida'!AA62/'Tablas de Vida'!AA61</f>
        <v>0.87162451107447914</v>
      </c>
    </row>
    <row r="21" spans="2:12" x14ac:dyDescent="0.25">
      <c r="B21" s="105">
        <f>'Tablas de Vida'!L22/'Tablas de Vida'!L21</f>
        <v>0.89107583147725167</v>
      </c>
      <c r="C21" s="107">
        <v>5</v>
      </c>
      <c r="D21" s="107">
        <v>70</v>
      </c>
      <c r="E21" s="107">
        <v>5</v>
      </c>
      <c r="F21" s="36">
        <f>'Tablas de Vida'!AA22/'Tablas de Vida'!AA21</f>
        <v>0.8962832945843362</v>
      </c>
      <c r="H21" s="105">
        <f>'Tablas de Vida'!L63/'Tablas de Vida'!L62</f>
        <v>0.72630776391366536</v>
      </c>
      <c r="I21" s="107">
        <v>5</v>
      </c>
      <c r="J21" s="107">
        <v>70</v>
      </c>
      <c r="K21" s="107">
        <v>5</v>
      </c>
      <c r="L21" s="105">
        <f>'Tablas de Vida'!AA63/'Tablas de Vida'!AA62</f>
        <v>0.79631134313723129</v>
      </c>
    </row>
    <row r="22" spans="2:12" x14ac:dyDescent="0.25">
      <c r="B22" s="105">
        <f>'Tablas de Vida'!L23/'Tablas de Vida'!L22</f>
        <v>0.85055765396635064</v>
      </c>
      <c r="C22" s="107">
        <v>5</v>
      </c>
      <c r="D22" s="107">
        <v>75</v>
      </c>
      <c r="E22" s="107">
        <v>5</v>
      </c>
      <c r="F22" s="36">
        <f>'Tablas de Vida'!AA23/'Tablas de Vida'!AA22</f>
        <v>0.84079256234166655</v>
      </c>
      <c r="H22" s="105">
        <f>'Tablas de Vida'!L64/'Tablas de Vida'!L63</f>
        <v>0.64909447256089647</v>
      </c>
      <c r="I22" s="107">
        <v>5</v>
      </c>
      <c r="J22" s="107">
        <v>75</v>
      </c>
      <c r="K22" s="107">
        <v>5</v>
      </c>
      <c r="L22" s="105">
        <f>'Tablas de Vida'!AA64/'Tablas de Vida'!AA63</f>
        <v>0.70610885819115976</v>
      </c>
    </row>
    <row r="23" spans="2:12" x14ac:dyDescent="0.25">
      <c r="B23" s="105">
        <f>'Tablas de Vida'!L24/('Tablas de Vida'!L23+'Tablas de Vida'!L24)</f>
        <v>0.60957193943642707</v>
      </c>
      <c r="C23" s="107" t="s">
        <v>140</v>
      </c>
      <c r="D23" s="107">
        <v>80</v>
      </c>
      <c r="E23" s="107" t="s">
        <v>140</v>
      </c>
      <c r="F23" s="106">
        <f>'Tablas de Vida'!AA24/('Tablas de Vida'!AA23+'Tablas de Vida'!AA24)</f>
        <v>0.65956644846567147</v>
      </c>
      <c r="H23" s="105">
        <f>'Tablas de Vida'!L65/('Tablas de Vida'!L64+'Tablas de Vida'!L65)</f>
        <v>0.41821332192973604</v>
      </c>
      <c r="I23" s="107" t="s">
        <v>140</v>
      </c>
      <c r="J23" s="107" t="s">
        <v>141</v>
      </c>
      <c r="K23" s="107" t="s">
        <v>140</v>
      </c>
      <c r="L23" s="105">
        <f>'Tablas de Vida'!AA65/('Tablas de Vida'!AA64+'Tablas de Vida'!AA65)</f>
        <v>0.5022984113818395</v>
      </c>
    </row>
  </sheetData>
  <mergeCells count="3">
    <mergeCell ref="A1:E1"/>
    <mergeCell ref="B4:F4"/>
    <mergeCell ref="H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Defunciones</vt:lpstr>
      <vt:lpstr>Nacimientos</vt:lpstr>
      <vt:lpstr>Poblacion</vt:lpstr>
      <vt:lpstr>Causas de Mortalidad</vt:lpstr>
      <vt:lpstr>Tablas de Vida</vt:lpstr>
      <vt:lpstr>Relaciones de Sobrevivencia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xifer</dc:creator>
  <cp:lastModifiedBy>hp</cp:lastModifiedBy>
  <dcterms:created xsi:type="dcterms:W3CDTF">2026-05-01T01:14:45Z</dcterms:created>
  <dcterms:modified xsi:type="dcterms:W3CDTF">2026-05-17T23:44:07Z</dcterms:modified>
</cp:coreProperties>
</file>